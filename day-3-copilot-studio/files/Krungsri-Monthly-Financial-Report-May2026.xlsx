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4c3d17e36449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3876ecf476e4e9e"/>
    <x:sheet xmlns:r="http://schemas.openxmlformats.org/officeDocument/2006/relationships" name="Revenue" sheetId="2" r:id="R0698846661e94165"/>
    <x:sheet xmlns:r="http://schemas.openxmlformats.org/officeDocument/2006/relationships" name="Costs" sheetId="3" r:id="R2aeced2853bd4a88"/>
    <x:sheet xmlns:r="http://schemas.openxmlformats.org/officeDocument/2006/relationships" name="Variance_Analysis" sheetId="4" r:id="R5d78efabacdd4a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0.00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6B4D20"/>
      </x:patternFill>
    </x:fill>
    <x:fill>
      <x:patternFill patternType="solid">
        <x:fgColor rgb="FFF5E9C9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0" fillId="3" borderId="0" xfId="0" applyNumberFormat="1" applyFont="1" applyFill="1" applyBorder="1"/>
    <x:xf numFmtId="200" fontId="0" fillId="3" borderId="0" xfId="0" applyNumberFormat="1" applyFont="1" applyFill="1" applyBorder="1"/>
    <x:xf numFmtId="0" fontId="3" fillId="3" borderId="0" xfId="0" applyNumberFormat="1" applyFont="1" applyFill="1" applyBorder="1"/>
    <x:xf numFmtId="200" fontId="3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5eadde270b4ff9" /><Relationship Type="http://schemas.openxmlformats.org/officeDocument/2006/relationships/theme" Target="/xl/theme/theme1.xml" Id="Rdf57fabb9b30488e" /><Relationship Type="http://schemas.openxmlformats.org/officeDocument/2006/relationships/sharedStrings" Target="/xl/sharedStrings.xml" Id="R017ba711730b4150" /><Relationship Type="http://schemas.openxmlformats.org/officeDocument/2006/relationships/worksheet" Target="/xl/worksheets/sheet1.xml" Id="Rf3876ecf476e4e9e" /><Relationship Type="http://schemas.openxmlformats.org/officeDocument/2006/relationships/worksheet" Target="/xl/worksheets/sheet2.xml" Id="R0698846661e94165" /><Relationship Type="http://schemas.openxmlformats.org/officeDocument/2006/relationships/worksheet" Target="/xl/worksheets/sheet3.xml" Id="R2aeced2853bd4a88" /><Relationship Type="http://schemas.openxmlformats.org/officeDocument/2006/relationships/worksheet" Target="/xl/worksheets/sheet4.xml" Id="R5d78efabacdd4aa8" /></Relationships>
</file>

<file path=xl/tables/table1.xml><?xml version="1.0" encoding="utf-8"?>
<x:table xmlns:x="http://schemas.openxmlformats.org/spreadsheetml/2006/main" id="3" name="SummaryData" displayName="SummaryData" ref="A1:J5" headerRowCount="1" totalsRowCount="0" totalsRowShown="0">
  <x:tableColumns count="10">
    <x:tableColumn id="1" name="BU"/>
    <x:tableColumn id="2" name="Period"/>
    <x:tableColumn id="3" name="Revenue_Million_THB"/>
    <x:tableColumn id="4" name="Revenue_Target_Million_THB"/>
    <x:tableColumn id="5" name="Revenue_Variance_Percent"/>
    <x:tableColumn id="6" name="Cost_Million_THB"/>
    <x:tableColumn id="7" name="Cost_Budget_Million_THB"/>
    <x:tableColumn id="8" name="Cost_Variance_Percent"/>
    <x:tableColumn id="9" name="Revenue_Less_Cost_Million_THB"/>
    <x:tableColumn id="10" name="KeyRisk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RevenueData" displayName="RevenueData" ref="A1:F25" headerRowCount="1" totalsRowCount="0" totalsRowShown="0">
  <x:tableColumns count="6">
    <x:tableColumn id="1" name="BU"/>
    <x:tableColumn id="2" name="Product_Category"/>
    <x:tableColumn id="3" name="Revenue_Million_THB"/>
    <x:tableColumn id="4" name="Target_Million_THB"/>
    <x:tableColumn id="5" name="Variance_Percent"/>
    <x:tableColumn id="6" name="Tren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CostsData" displayName="CostsData" ref="A1:F21" headerRowCount="1" totalsRowCount="0" totalsRowShown="0">
  <x:tableColumns count="6">
    <x:tableColumn id="1" name="BU"/>
    <x:tableColumn id="2" name="Cost_Category"/>
    <x:tableColumn id="3" name="Amount_Million_THB"/>
    <x:tableColumn id="4" name="Budget_Million_THB"/>
    <x:tableColumn id="5" name="Variance_Percent"/>
    <x:tableColumn id="6" name="YoY_Change_Percen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VarianceAnalysisData" displayName="VarianceAnalysisData" ref="A1:I21" headerRowCount="1" totalsRowCount="0" totalsRowShown="0">
  <x:tableColumns count="9">
    <x:tableColumn id="1" name="BU"/>
    <x:tableColumn id="2" name="Metric"/>
    <x:tableColumn id="3" name="Unit"/>
    <x:tableColumn id="4" name="Actual"/>
    <x:tableColumn id="5" name="Budget_or_Target"/>
    <x:tableColumn id="6" name="Difference"/>
    <x:tableColumn id="7" name="Relative_Variance_Percent"/>
    <x:tableColumn id="8" name="Explanation"/>
    <x:tableColumn id="9" name="Difference_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6060cbaaba4497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7b520858bfd4c0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ae3ebd342114ee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9603babec8041d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36" hidden="0" customWidth="1"/>
  </x:cols>
  <x:sheetData>
    <x:row r="1" ht="62" customHeight="1">
      <x:c r="A1" s="4" t="str">
        <x:v>BU</x:v>
      </x:c>
      <x:c r="B1" s="4" t="str">
        <x:v>Period</x:v>
      </x:c>
      <x:c r="C1" s="4" t="str">
        <x:v>Revenue_Million_THB</x:v>
      </x:c>
      <x:c r="D1" s="4" t="str">
        <x:v>Revenue_Target_Million_THB</x:v>
      </x:c>
      <x:c r="E1" s="4" t="str">
        <x:v>Revenue_Variance_Percent</x:v>
      </x:c>
      <x:c r="F1" s="4" t="str">
        <x:v>Cost_Million_THB</x:v>
      </x:c>
      <x:c r="G1" s="4" t="str">
        <x:v>Cost_Budget_Million_THB</x:v>
      </x:c>
      <x:c r="H1" s="4" t="str">
        <x:v>Cost_Variance_Percent</x:v>
      </x:c>
      <x:c r="I1" s="4" t="str">
        <x:v>Revenue_Less_Cost_Million_THB</x:v>
      </x:c>
      <x:c r="J1" s="4" t="str">
        <x:v>KeyRisk</x:v>
      </x:c>
    </x:row>
    <x:row r="2" ht="48" customHeight="1">
      <x:c r="A2" s="5" t="str">
        <x:v>Retail Banking</x:v>
      </x:c>
      <x:c r="B2" s="5" t="str">
        <x:v>May 2026</x:v>
      </x:c>
      <x:c r="C2" s="6" t="n">
        <x:f>ROUND(SUMIFS('Revenue'!$C$2:$C$25,'Revenue'!$A$2:$A$25,A2),2)</x:f>
        <x:v>268.12</x:v>
      </x:c>
      <x:c r="D2" s="6" t="n">
        <x:f>ROUND(SUMIFS('Revenue'!$D$2:$D$25,'Revenue'!$A$2:$A$25,A2),2)</x:f>
        <x:v>258.41</x:v>
      </x:c>
      <x:c r="E2" s="6" t="n">
        <x:f>IF(D2=0,"n.a.",ROUND((C2-D2)/D2*100,2))</x:f>
        <x:v>3.76</x:v>
      </x:c>
      <x:c r="F2" s="6" t="n">
        <x:f>ROUND(SUMIFS('Costs'!$C$2:$C$21,'Costs'!$A$2:$A$21,A2),2)</x:f>
        <x:v>287.97</x:v>
      </x:c>
      <x:c r="G2" s="6" t="n">
        <x:f>ROUND(SUMIFS('Costs'!$D$2:$D$21,'Costs'!$A$2:$A$21,A2),2)</x:f>
        <x:v>265.29</x:v>
      </x:c>
      <x:c r="H2" s="6" t="n">
        <x:f>IF(G2=0,"n.a.",ROUND((F2-G2)/G2*100,2))</x:f>
        <x:v>8.55</x:v>
      </x:c>
      <x:c r="I2" s="6" t="n">
        <x:f>ROUND(C2-F2,2)</x:f>
        <x:v>-19.85</x:v>
      </x:c>
      <x:c r="J2" s="5" t="str">
        <x:v>Deposit rate competition</x:v>
      </x:c>
    </x:row>
    <x:row r="3" ht="48" customHeight="1">
      <x:c r="A3" s="5" t="str">
        <x:v>Corporate Banking</x:v>
      </x:c>
      <x:c r="B3" s="5" t="str">
        <x:v>May 2026</x:v>
      </x:c>
      <x:c r="C3" s="6" t="n">
        <x:f>ROUND(SUMIFS('Revenue'!$C$2:$C$25,'Revenue'!$A$2:$A$25,A3),2)</x:f>
        <x:v>235.02</x:v>
      </x:c>
      <x:c r="D3" s="6" t="n">
        <x:f>ROUND(SUMIFS('Revenue'!$D$2:$D$25,'Revenue'!$A$2:$A$25,A3),2)</x:f>
        <x:v>232.5</x:v>
      </x:c>
      <x:c r="E3" s="6" t="n">
        <x:f>IF(D3=0,"n.a.",ROUND((C3-D3)/D3*100,2))</x:f>
        <x:v>1.08</x:v>
      </x:c>
      <x:c r="F3" s="6" t="n">
        <x:f>ROUND(SUMIFS('Costs'!$C$2:$C$21,'Costs'!$A$2:$A$21,A3),2)</x:f>
        <x:v>380.64</x:v>
      </x:c>
      <x:c r="G3" s="6" t="n">
        <x:f>ROUND(SUMIFS('Costs'!$D$2:$D$21,'Costs'!$A$2:$A$21,A3),2)</x:f>
        <x:v>355.53</x:v>
      </x:c>
      <x:c r="H3" s="6" t="n">
        <x:f>IF(G3=0,"n.a.",ROUND((F3-G3)/G3*100,2))</x:f>
        <x:v>7.06</x:v>
      </x:c>
      <x:c r="I3" s="6" t="n">
        <x:f>ROUND(C3-F3,2)</x:f>
        <x:v>-145.62</x:v>
      </x:c>
      <x:c r="J3" s="5" t="str">
        <x:v>Credit concentration risk</x:v>
      </x:c>
    </x:row>
    <x:row r="4" ht="48" customHeight="1">
      <x:c r="A4" s="5" t="str">
        <x:v>SME Banking</x:v>
      </x:c>
      <x:c r="B4" s="5" t="str">
        <x:v>May 2026</x:v>
      </x:c>
      <x:c r="C4" s="6" t="n">
        <x:f>ROUND(SUMIFS('Revenue'!$C$2:$C$25,'Revenue'!$A$2:$A$25,A4),2)</x:f>
        <x:v>240.84</x:v>
      </x:c>
      <x:c r="D4" s="6" t="n">
        <x:f>ROUND(SUMIFS('Revenue'!$D$2:$D$25,'Revenue'!$A$2:$A$25,A4),2)</x:f>
        <x:v>222.42</x:v>
      </x:c>
      <x:c r="E4" s="6" t="n">
        <x:f>IF(D4=0,"n.a.",ROUND((C4-D4)/D4*100,2))</x:f>
        <x:v>8.28</x:v>
      </x:c>
      <x:c r="F4" s="6" t="n">
        <x:f>ROUND(SUMIFS('Costs'!$C$2:$C$21,'Costs'!$A$2:$A$21,A4),2)</x:f>
        <x:v>392.55</x:v>
      </x:c>
      <x:c r="G4" s="6" t="n">
        <x:f>ROUND(SUMIFS('Costs'!$D$2:$D$21,'Costs'!$A$2:$A$21,A4),2)</x:f>
        <x:v>374.59</x:v>
      </x:c>
      <x:c r="H4" s="6" t="n">
        <x:f>IF(G4=0,"n.a.",ROUND((F4-G4)/G4*100,2))</x:f>
        <x:v>4.79</x:v>
      </x:c>
      <x:c r="I4" s="6" t="n">
        <x:f>ROUND(C4-F4,2)</x:f>
        <x:v>-151.71</x:v>
      </x:c>
      <x:c r="J4" s="5" t="str">
        <x:v>Rising delinquency in SME segment</x:v>
      </x:c>
    </x:row>
    <x:row r="5" ht="48" customHeight="1">
      <x:c r="A5" s="5" t="str">
        <x:v>Card &amp; Payments</x:v>
      </x:c>
      <x:c r="B5" s="5" t="str">
        <x:v>May 2026</x:v>
      </x:c>
      <x:c r="C5" s="6" t="n">
        <x:f>ROUND(SUMIFS('Revenue'!$C$2:$C$25,'Revenue'!$A$2:$A$25,A5),2)</x:f>
        <x:v>280.89</x:v>
      </x:c>
      <x:c r="D5" s="6" t="n">
        <x:f>ROUND(SUMIFS('Revenue'!$D$2:$D$25,'Revenue'!$A$2:$A$25,A5),2)</x:f>
        <x:v>288.44</x:v>
      </x:c>
      <x:c r="E5" s="6" t="n">
        <x:f>IF(D5=0,"n.a.",ROUND((C5-D5)/D5*100,2))</x:f>
        <x:v>-2.62</x:v>
      </x:c>
      <x:c r="F5" s="6" t="n">
        <x:f>ROUND(SUMIFS('Costs'!$C$2:$C$21,'Costs'!$A$2:$A$21,A5),2)</x:f>
        <x:v>411.43</x:v>
      </x:c>
      <x:c r="G5" s="6" t="n">
        <x:f>ROUND(SUMIFS('Costs'!$D$2:$D$21,'Costs'!$A$2:$A$21,A5),2)</x:f>
        <x:v>376.11</x:v>
      </x:c>
      <x:c r="H5" s="6" t="n">
        <x:f>IF(G5=0,"n.a.",ROUND((F5-G5)/G5*100,2))</x:f>
        <x:v>9.39</x:v>
      </x:c>
      <x:c r="I5" s="6" t="n">
        <x:f>ROUND(C5-F5,2)</x:f>
        <x:v>-130.54</x:v>
      </x:c>
      <x:c r="J5" s="5" t="str">
        <x:v>Card charge-off rate increase</x:v>
      </x:c>
    </x:row>
    <x:row r="6">
      <x:c r="C6" s="8"/>
      <x:c r="D6" s="8"/>
      <x:c r="E6" s="8"/>
      <x:c r="F6" s="8"/>
      <x:c r="G6" s="8"/>
      <x:c r="H6" s="8"/>
      <x:c r="I6" s="8"/>
    </x:row>
    <x:row r="7">
      <x:c r="A7" s="11" t="str">
        <x:v>Total</x:v>
      </x:c>
      <x:c r="B7" s="11" t="str">
        <x:v>May 2026</x:v>
      </x:c>
      <x:c r="C7" s="12" t="n">
        <x:f>ROUND(SUM(C2:C5),2)</x:f>
        <x:v>1024.87</x:v>
      </x:c>
      <x:c r="D7" s="12" t="n">
        <x:f>ROUND(SUM(D2:D5),2)</x:f>
        <x:v>1001.77</x:v>
      </x:c>
      <x:c r="E7" s="12" t="n">
        <x:f>ROUND((C7-D7)/D7*100,2)</x:f>
        <x:v>2.31</x:v>
      </x:c>
      <x:c r="F7" s="12" t="n">
        <x:f>ROUND(SUM(F2:F5),2)</x:f>
        <x:v>1472.59</x:v>
      </x:c>
      <x:c r="G7" s="12" t="n">
        <x:f>ROUND(SUM(G2:G5),2)</x:f>
        <x:v>1371.52</x:v>
      </x:c>
      <x:c r="H7" s="12" t="n">
        <x:f>ROUND((F7-G7)/G7*100,2)</x:f>
        <x:v>7.37</x:v>
      </x:c>
      <x:c r="I7" s="12" t="n">
        <x:f>ROUND(SUM(I2:I5),2)</x:f>
        <x:v>-447.72</x:v>
      </x:c>
      <x:c r="J7" s="11"/>
    </x:row>
    <x:row r="10">
      <x:c r="A10" t="str">
        <x:v>Synthetic training data | May 2026 | All amount columns are million THB.</x:v>
      </x:c>
    </x:row>
    <x:row r="11">
      <x:c r="A11" t="str">
        <x:v>Percent columns store percentage numbers: 8.55 means 8.55%, not 855%.</x:v>
      </x:c>
    </x:row>
    <x:row r="12">
      <x:c r="A12" t="str">
        <x:v>Positive revenue variance = above target; positive cost variance = above budget.</x:v>
      </x:c>
    </x:row>
    <x:row r="13">
      <x:c r="A13" t="str">
        <x:v>Revenue_Less_Cost is a simple training difference, not audited net profit.</x:v>
      </x:c>
    </x:row>
    <x:row r="14">
      <x:c r="A14" t="str">
        <x:v>KeyRisk is a supplied scenario assumption, not a proven cause of a variance.</x:v>
      </x:c>
    </x:row>
    <x:row r="15">
      <x:c r="A15" t="str">
        <x:v>Read Summary for the executive brief. Revenue and Costs support it; never add the same totals twice.</x:v>
      </x:c>
    </x:row>
    <x:row r="16">
      <x:c r="A16" t="str">
        <x:v>Variance_Analysis monetary rows reconcile to detail; ratio rows are separate supplied assumptions.</x:v>
      </x:c>
    </x:row>
    <x:row r="17">
      <x:c r="A17" t="str">
        <x:v>No prior-month data is supplied. Missing causes and trends must not be invented.</x:v>
      </x:c>
    </x:row>
  </x:sheetData>
  <x:pageMargins left="0.7" right="0.7" top="0.75" bottom="0.75" header="0.3" footer="0.3"/>
  <x:tableParts count="1">
    <x:tablePart xmlns:r="http://schemas.openxmlformats.org/officeDocument/2006/relationships" r:id="R56060cbaaba44971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34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62" customHeight="1">
      <x:c r="A1" s="4" t="str">
        <x:v>BU</x:v>
      </x:c>
      <x:c r="B1" s="4" t="str">
        <x:v>Product_Category</x:v>
      </x:c>
      <x:c r="C1" s="4" t="str">
        <x:v>Revenue_Million_THB</x:v>
      </x:c>
      <x:c r="D1" s="4" t="str">
        <x:v>Target_Million_THB</x:v>
      </x:c>
      <x:c r="E1" s="4" t="str">
        <x:v>Variance_Percent</x:v>
      </x:c>
      <x:c r="F1" s="4" t="str">
        <x:v>Trend</x:v>
      </x:c>
    </x:row>
    <x:row r="2" ht="30" customHeight="1">
      <x:c r="A2" s="5" t="str">
        <x:v>Retail Banking</x:v>
      </x:c>
      <x:c r="B2" s="5" t="str">
        <x:v>Loan Interest Income</x:v>
      </x:c>
      <x:c r="C2" s="6" t="n">
        <x:v>32.89</x:v>
      </x:c>
      <x:c r="D2" s="6" t="n">
        <x:v>32.03</x:v>
      </x:c>
      <x:c r="E2" s="6" t="n">
        <x:f>IF(D2=0,"n.a.",ROUND((C2-D2)/D2*100,2))</x:f>
        <x:v>2.68</x:v>
      </x:c>
      <x:c r="F2" s="5" t="str">
        <x:v>Up</x:v>
      </x:c>
    </x:row>
    <x:row r="3" ht="30" customHeight="1">
      <x:c r="A3" s="5" t="str">
        <x:v>Retail Banking</x:v>
      </x:c>
      <x:c r="B3" s="5" t="str">
        <x:v>Deposit Spread Income</x:v>
      </x:c>
      <x:c r="C3" s="6" t="n">
        <x:v>55.99</x:v>
      </x:c>
      <x:c r="D3" s="6" t="n">
        <x:v>50.87</x:v>
      </x:c>
      <x:c r="E3" s="6" t="n">
        <x:f>IF(D3=0,"n.a.",ROUND((C3-D3)/D3*100,2))</x:f>
        <x:v>10.06</x:v>
      </x:c>
      <x:c r="F3" s="5" t="str">
        <x:v>Flat</x:v>
      </x:c>
    </x:row>
    <x:row r="4" ht="30" customHeight="1">
      <x:c r="A4" s="5" t="str">
        <x:v>Retail Banking</x:v>
      </x:c>
      <x:c r="B4" s="5" t="str">
        <x:v>Fee &amp; Service Income</x:v>
      </x:c>
      <x:c r="C4" s="6" t="n">
        <x:v>46.33</x:v>
      </x:c>
      <x:c r="D4" s="6" t="n">
        <x:v>49.97</x:v>
      </x:c>
      <x:c r="E4" s="6" t="n">
        <x:f>IF(D4=0,"n.a.",ROUND((C4-D4)/D4*100,2))</x:f>
        <x:v>-7.28</x:v>
      </x:c>
      <x:c r="F4" s="5" t="str">
        <x:v>Flat</x:v>
      </x:c>
    </x:row>
    <x:row r="5" ht="30" customHeight="1">
      <x:c r="A5" s="5" t="str">
        <x:v>Retail Banking</x:v>
      </x:c>
      <x:c r="B5" s="5" t="str">
        <x:v>Bancassurance &amp; Investment</x:v>
      </x:c>
      <x:c r="C5" s="6" t="n">
        <x:v>40.75</x:v>
      </x:c>
      <x:c r="D5" s="6" t="n">
        <x:v>35.3</x:v>
      </x:c>
      <x:c r="E5" s="6" t="n">
        <x:f>IF(D5=0,"n.a.",ROUND((C5-D5)/D5*100,2))</x:f>
        <x:v>15.44</x:v>
      </x:c>
      <x:c r="F5" s="5" t="str">
        <x:v>Up</x:v>
      </x:c>
    </x:row>
    <x:row r="6" ht="30" customHeight="1">
      <x:c r="A6" s="5" t="str">
        <x:v>Retail Banking</x:v>
      </x:c>
      <x:c r="B6" s="5" t="str">
        <x:v>FX &amp; Treasury Income</x:v>
      </x:c>
      <x:c r="C6" s="6" t="n">
        <x:v>56.59</x:v>
      </x:c>
      <x:c r="D6" s="6" t="n">
        <x:v>58.4</x:v>
      </x:c>
      <x:c r="E6" s="6" t="n">
        <x:f>IF(D6=0,"n.a.",ROUND((C6-D6)/D6*100,2))</x:f>
        <x:v>-3.1</x:v>
      </x:c>
      <x:c r="F6" s="5" t="str">
        <x:v>Up</x:v>
      </x:c>
    </x:row>
    <x:row r="7" ht="30" customHeight="1">
      <x:c r="A7" s="5" t="str">
        <x:v>Retail Banking</x:v>
      </x:c>
      <x:c r="B7" s="5" t="str">
        <x:v>Digital Channel Fee</x:v>
      </x:c>
      <x:c r="C7" s="6" t="n">
        <x:v>35.57</x:v>
      </x:c>
      <x:c r="D7" s="6" t="n">
        <x:v>31.84</x:v>
      </x:c>
      <x:c r="E7" s="6" t="n">
        <x:f>IF(D7=0,"n.a.",ROUND((C7-D7)/D7*100,2))</x:f>
        <x:v>11.71</x:v>
      </x:c>
      <x:c r="F7" s="5" t="str">
        <x:v>Up</x:v>
      </x:c>
    </x:row>
    <x:row r="8" ht="30" customHeight="1">
      <x:c r="A8" s="5" t="str">
        <x:v>Corporate Banking</x:v>
      </x:c>
      <x:c r="B8" s="5" t="str">
        <x:v>Loan Interest Income</x:v>
      </x:c>
      <x:c r="C8" s="6" t="n">
        <x:v>22.18</x:v>
      </x:c>
      <x:c r="D8" s="6" t="n">
        <x:v>25.1</x:v>
      </x:c>
      <x:c r="E8" s="6" t="n">
        <x:f>IF(D8=0,"n.a.",ROUND((C8-D8)/D8*100,2))</x:f>
        <x:v>-11.63</x:v>
      </x:c>
      <x:c r="F8" s="5" t="str">
        <x:v>Down</x:v>
      </x:c>
    </x:row>
    <x:row r="9" ht="30" customHeight="1">
      <x:c r="A9" s="5" t="str">
        <x:v>Corporate Banking</x:v>
      </x:c>
      <x:c r="B9" s="5" t="str">
        <x:v>Deposit Spread Income</x:v>
      </x:c>
      <x:c r="C9" s="6" t="n">
        <x:v>60.25</x:v>
      </x:c>
      <x:c r="D9" s="6" t="n">
        <x:v>53.2</x:v>
      </x:c>
      <x:c r="E9" s="6" t="n">
        <x:f>IF(D9=0,"n.a.",ROUND((C9-D9)/D9*100,2))</x:f>
        <x:v>13.25</x:v>
      </x:c>
      <x:c r="F9" s="5" t="str">
        <x:v>Flat</x:v>
      </x:c>
    </x:row>
    <x:row r="10" ht="30" customHeight="1">
      <x:c r="A10" s="5" t="str">
        <x:v>Corporate Banking</x:v>
      </x:c>
      <x:c r="B10" s="5" t="str">
        <x:v>Fee &amp; Service Income</x:v>
      </x:c>
      <x:c r="C10" s="6" t="n">
        <x:v>40.46</x:v>
      </x:c>
      <x:c r="D10" s="6" t="n">
        <x:v>45.27</x:v>
      </x:c>
      <x:c r="E10" s="6" t="n">
        <x:f>IF(D10=0,"n.a.",ROUND((C10-D10)/D10*100,2))</x:f>
        <x:v>-10.63</x:v>
      </x:c>
      <x:c r="F10" s="5" t="str">
        <x:v>Down</x:v>
      </x:c>
    </x:row>
    <x:row r="11" ht="30" customHeight="1">
      <x:c r="A11" s="5" t="str">
        <x:v>Corporate Banking</x:v>
      </x:c>
      <x:c r="B11" s="5" t="str">
        <x:v>Bancassurance &amp; Investment</x:v>
      </x:c>
      <x:c r="C11" s="6" t="n">
        <x:v>23.18</x:v>
      </x:c>
      <x:c r="D11" s="6" t="n">
        <x:v>24.33</x:v>
      </x:c>
      <x:c r="E11" s="6" t="n">
        <x:f>IF(D11=0,"n.a.",ROUND((C11-D11)/D11*100,2))</x:f>
        <x:v>-4.73</x:v>
      </x:c>
      <x:c r="F11" s="5" t="str">
        <x:v>Flat</x:v>
      </x:c>
    </x:row>
    <x:row r="12" ht="30" customHeight="1">
      <x:c r="A12" s="5" t="str">
        <x:v>Corporate Banking</x:v>
      </x:c>
      <x:c r="B12" s="5" t="str">
        <x:v>FX &amp; Treasury Income</x:v>
      </x:c>
      <x:c r="C12" s="6" t="n">
        <x:v>62.21</x:v>
      </x:c>
      <x:c r="D12" s="6" t="n">
        <x:v>54.02</x:v>
      </x:c>
      <x:c r="E12" s="6" t="n">
        <x:f>IF(D12=0,"n.a.",ROUND((C12-D12)/D12*100,2))</x:f>
        <x:v>15.16</x:v>
      </x:c>
      <x:c r="F12" s="5" t="str">
        <x:v>Flat</x:v>
      </x:c>
    </x:row>
    <x:row r="13" ht="30" customHeight="1">
      <x:c r="A13" s="5" t="str">
        <x:v>Corporate Banking</x:v>
      </x:c>
      <x:c r="B13" s="5" t="str">
        <x:v>Digital Channel Fee</x:v>
      </x:c>
      <x:c r="C13" s="6" t="n">
        <x:v>26.74</x:v>
      </x:c>
      <x:c r="D13" s="6" t="n">
        <x:v>30.58</x:v>
      </x:c>
      <x:c r="E13" s="6" t="n">
        <x:f>IF(D13=0,"n.a.",ROUND((C13-D13)/D13*100,2))</x:f>
        <x:v>-12.56</x:v>
      </x:c>
      <x:c r="F13" s="5" t="str">
        <x:v>Flat</x:v>
      </x:c>
    </x:row>
    <x:row r="14" ht="30" customHeight="1">
      <x:c r="A14" s="5" t="str">
        <x:v>SME Banking</x:v>
      </x:c>
      <x:c r="B14" s="5" t="str">
        <x:v>Loan Interest Income</x:v>
      </x:c>
      <x:c r="C14" s="6" t="n">
        <x:v>30.95</x:v>
      </x:c>
      <x:c r="D14" s="6" t="n">
        <x:v>32.53</x:v>
      </x:c>
      <x:c r="E14" s="6" t="n">
        <x:f>IF(D14=0,"n.a.",ROUND((C14-D14)/D14*100,2))</x:f>
        <x:v>-4.86</x:v>
      </x:c>
      <x:c r="F14" s="5" t="str">
        <x:v>Up</x:v>
      </x:c>
    </x:row>
    <x:row r="15" ht="30" customHeight="1">
      <x:c r="A15" s="5" t="str">
        <x:v>SME Banking</x:v>
      </x:c>
      <x:c r="B15" s="5" t="str">
        <x:v>Deposit Spread Income</x:v>
      </x:c>
      <x:c r="C15" s="6" t="n">
        <x:v>77.32</x:v>
      </x:c>
      <x:c r="D15" s="6" t="n">
        <x:v>67.04</x:v>
      </x:c>
      <x:c r="E15" s="6" t="n">
        <x:f>IF(D15=0,"n.a.",ROUND((C15-D15)/D15*100,2))</x:f>
        <x:v>15.33</x:v>
      </x:c>
      <x:c r="F15" s="5" t="str">
        <x:v>Down</x:v>
      </x:c>
    </x:row>
    <x:row r="16" ht="30" customHeight="1">
      <x:c r="A16" s="5" t="str">
        <x:v>SME Banking</x:v>
      </x:c>
      <x:c r="B16" s="5" t="str">
        <x:v>Fee &amp; Service Income</x:v>
      </x:c>
      <x:c r="C16" s="6" t="n">
        <x:v>37.85</x:v>
      </x:c>
      <x:c r="D16" s="6" t="n">
        <x:v>35.29</x:v>
      </x:c>
      <x:c r="E16" s="6" t="n">
        <x:f>IF(D16=0,"n.a.",ROUND((C16-D16)/D16*100,2))</x:f>
        <x:v>7.25</x:v>
      </x:c>
      <x:c r="F16" s="5" t="str">
        <x:v>Down</x:v>
      </x:c>
    </x:row>
    <x:row r="17" ht="30" customHeight="1">
      <x:c r="A17" s="5" t="str">
        <x:v>SME Banking</x:v>
      </x:c>
      <x:c r="B17" s="5" t="str">
        <x:v>Bancassurance &amp; Investment</x:v>
      </x:c>
      <x:c r="C17" s="6" t="n">
        <x:v>28.21</x:v>
      </x:c>
      <x:c r="D17" s="6" t="n">
        <x:v>28.95</x:v>
      </x:c>
      <x:c r="E17" s="6" t="n">
        <x:f>IF(D17=0,"n.a.",ROUND((C17-D17)/D17*100,2))</x:f>
        <x:v>-2.56</x:v>
      </x:c>
      <x:c r="F17" s="5" t="str">
        <x:v>Flat</x:v>
      </x:c>
    </x:row>
    <x:row r="18" ht="30" customHeight="1">
      <x:c r="A18" s="5" t="str">
        <x:v>SME Banking</x:v>
      </x:c>
      <x:c r="B18" s="5" t="str">
        <x:v>FX &amp; Treasury Income</x:v>
      </x:c>
      <x:c r="C18" s="6" t="n">
        <x:v>40.85</x:v>
      </x:c>
      <x:c r="D18" s="6" t="n">
        <x:v>34.68</x:v>
      </x:c>
      <x:c r="E18" s="6" t="n">
        <x:f>IF(D18=0,"n.a.",ROUND((C18-D18)/D18*100,2))</x:f>
        <x:v>17.79</x:v>
      </x:c>
      <x:c r="F18" s="5" t="str">
        <x:v>Flat</x:v>
      </x:c>
    </x:row>
    <x:row r="19" ht="30" customHeight="1">
      <x:c r="A19" s="5" t="str">
        <x:v>SME Banking</x:v>
      </x:c>
      <x:c r="B19" s="5" t="str">
        <x:v>Digital Channel Fee</x:v>
      </x:c>
      <x:c r="C19" s="6" t="n">
        <x:v>25.66</x:v>
      </x:c>
      <x:c r="D19" s="6" t="n">
        <x:v>23.93</x:v>
      </x:c>
      <x:c r="E19" s="6" t="n">
        <x:f>IF(D19=0,"n.a.",ROUND((C19-D19)/D19*100,2))</x:f>
        <x:v>7.23</x:v>
      </x:c>
      <x:c r="F19" s="5" t="str">
        <x:v>Flat</x:v>
      </x:c>
    </x:row>
    <x:row r="20" ht="30" customHeight="1">
      <x:c r="A20" s="5" t="str">
        <x:v>Card &amp; Payments</x:v>
      </x:c>
      <x:c r="B20" s="5" t="str">
        <x:v>Loan Interest Income</x:v>
      </x:c>
      <x:c r="C20" s="6" t="n">
        <x:v>54.52</x:v>
      </x:c>
      <x:c r="D20" s="6" t="n">
        <x:v>60.1</x:v>
      </x:c>
      <x:c r="E20" s="6" t="n">
        <x:f>IF(D20=0,"n.a.",ROUND((C20-D20)/D20*100,2))</x:f>
        <x:v>-9.28</x:v>
      </x:c>
      <x:c r="F20" s="5" t="str">
        <x:v>Down</x:v>
      </x:c>
    </x:row>
    <x:row r="21" ht="30" customHeight="1">
      <x:c r="A21" s="5" t="str">
        <x:v>Card &amp; Payments</x:v>
      </x:c>
      <x:c r="B21" s="5" t="str">
        <x:v>Deposit Spread Income</x:v>
      </x:c>
      <x:c r="C21" s="6" t="n">
        <x:v>40.91</x:v>
      </x:c>
      <x:c r="D21" s="6" t="n">
        <x:v>34.85</x:v>
      </x:c>
      <x:c r="E21" s="6" t="n">
        <x:f>IF(D21=0,"n.a.",ROUND((C21-D21)/D21*100,2))</x:f>
        <x:v>17.39</x:v>
      </x:c>
      <x:c r="F21" s="5" t="str">
        <x:v>Flat</x:v>
      </x:c>
    </x:row>
    <x:row r="22" ht="30" customHeight="1">
      <x:c r="A22" s="5" t="str">
        <x:v>Card &amp; Payments</x:v>
      </x:c>
      <x:c r="B22" s="5" t="str">
        <x:v>Fee &amp; Service Income</x:v>
      </x:c>
      <x:c r="C22" s="6" t="n">
        <x:v>55.17</x:v>
      </x:c>
      <x:c r="D22" s="6" t="n">
        <x:v>50.63</x:v>
      </x:c>
      <x:c r="E22" s="6" t="n">
        <x:f>IF(D22=0,"n.a.",ROUND((C22-D22)/D22*100,2))</x:f>
        <x:v>8.97</x:v>
      </x:c>
      <x:c r="F22" s="5" t="str">
        <x:v>Up</x:v>
      </x:c>
    </x:row>
    <x:row r="23" ht="30" customHeight="1">
      <x:c r="A23" s="5" t="str">
        <x:v>Card &amp; Payments</x:v>
      </x:c>
      <x:c r="B23" s="5" t="str">
        <x:v>Bancassurance &amp; Investment</x:v>
      </x:c>
      <x:c r="C23" s="6" t="n">
        <x:v>28.08</x:v>
      </x:c>
      <x:c r="D23" s="6" t="n">
        <x:v>32.6</x:v>
      </x:c>
      <x:c r="E23" s="6" t="n">
        <x:f>IF(D23=0,"n.a.",ROUND((C23-D23)/D23*100,2))</x:f>
        <x:v>-13.87</x:v>
      </x:c>
      <x:c r="F23" s="5" t="str">
        <x:v>Down</x:v>
      </x:c>
    </x:row>
    <x:row r="24" ht="30" customHeight="1">
      <x:c r="A24" s="5" t="str">
        <x:v>Card &amp; Payments</x:v>
      </x:c>
      <x:c r="B24" s="5" t="str">
        <x:v>FX &amp; Treasury Income</x:v>
      </x:c>
      <x:c r="C24" s="6" t="n">
        <x:v>36.73</x:v>
      </x:c>
      <x:c r="D24" s="6" t="n">
        <x:v>42.06</x:v>
      </x:c>
      <x:c r="E24" s="6" t="n">
        <x:f>IF(D24=0,"n.a.",ROUND((C24-D24)/D24*100,2))</x:f>
        <x:v>-12.67</x:v>
      </x:c>
      <x:c r="F24" s="5" t="str">
        <x:v>Flat</x:v>
      </x:c>
    </x:row>
    <x:row r="25" ht="30" customHeight="1">
      <x:c r="A25" s="5" t="str">
        <x:v>Card &amp; Payments</x:v>
      </x:c>
      <x:c r="B25" s="5" t="str">
        <x:v>Digital Channel Fee</x:v>
      </x:c>
      <x:c r="C25" s="6" t="n">
        <x:v>65.48</x:v>
      </x:c>
      <x:c r="D25" s="6" t="n">
        <x:v>68.2</x:v>
      </x:c>
      <x:c r="E25" s="6" t="n">
        <x:f>IF(D25=0,"n.a.",ROUND((C25-D25)/D25*100,2))</x:f>
        <x:v>-3.99</x:v>
      </x:c>
      <x:c r="F25" s="5" t="str">
        <x:v>Flat</x:v>
      </x:c>
    </x:row>
    <x:row r="28">
      <x:c r="A28" t="str">
        <x:v>Synthetic training data | May 2026 | amounts: million THB | Percent columns: 10 means 10%</x:v>
      </x:c>
    </x:row>
    <x:row r="29">
      <x:c r="A29" t="str">
        <x:v>Trend / YoY change are supplied assumptions; no prior-period dataset is supplied.</x:v>
      </x:c>
    </x:row>
  </x:sheetData>
  <x:pageMargins left="0.7" right="0.7" top="0.75" bottom="0.75" header="0.3" footer="0.3"/>
  <x:tableParts count="1">
    <x:tablePart xmlns:r="http://schemas.openxmlformats.org/officeDocument/2006/relationships" r:id="Rf7b520858bfd4c0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34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62" customHeight="1">
      <x:c r="A1" s="4" t="str">
        <x:v>BU</x:v>
      </x:c>
      <x:c r="B1" s="4" t="str">
        <x:v>Cost_Category</x:v>
      </x:c>
      <x:c r="C1" s="4" t="str">
        <x:v>Amount_Million_THB</x:v>
      </x:c>
      <x:c r="D1" s="4" t="str">
        <x:v>Budget_Million_THB</x:v>
      </x:c>
      <x:c r="E1" s="4" t="str">
        <x:v>Variance_Percent</x:v>
      </x:c>
      <x:c r="F1" s="4" t="str">
        <x:v>YoY_Change_Percent</x:v>
      </x:c>
    </x:row>
    <x:row r="2" ht="30" customHeight="1">
      <x:c r="A2" s="5" t="str">
        <x:v>Retail Banking</x:v>
      </x:c>
      <x:c r="B2" s="5" t="str">
        <x:v>Interest Expense</x:v>
      </x:c>
      <x:c r="C2" s="6" t="n">
        <x:v>76.81</x:v>
      </x:c>
      <x:c r="D2" s="6" t="n">
        <x:v>64.92</x:v>
      </x:c>
      <x:c r="E2" s="6" t="n">
        <x:f>IF(D2=0,"n.a.",ROUND((C2-D2)/D2*100,2))</x:f>
        <x:v>18.31</x:v>
      </x:c>
      <x:c r="F2" s="7" t="n">
        <x:v>6.79</x:v>
      </x:c>
    </x:row>
    <x:row r="3" ht="30" customHeight="1">
      <x:c r="A3" s="5" t="str">
        <x:v>Retail Banking</x:v>
      </x:c>
      <x:c r="B3" s="5" t="str">
        <x:v>Personnel Cost</x:v>
      </x:c>
      <x:c r="C3" s="6" t="n">
        <x:v>27.67</x:v>
      </x:c>
      <x:c r="D3" s="6" t="n">
        <x:v>29.29</x:v>
      </x:c>
      <x:c r="E3" s="6" t="n">
        <x:f>IF(D3=0,"n.a.",ROUND((C3-D3)/D3*100,2))</x:f>
        <x:v>-5.53</x:v>
      </x:c>
      <x:c r="F3" s="7" t="n">
        <x:v>9.13</x:v>
      </x:c>
    </x:row>
    <x:row r="4" ht="30" customHeight="1">
      <x:c r="A4" s="5" t="str">
        <x:v>Retail Banking</x:v>
      </x:c>
      <x:c r="B4" s="5" t="str">
        <x:v>IT &amp; Digital Infrastructure</x:v>
      </x:c>
      <x:c r="C4" s="6" t="n">
        <x:v>78.48</x:v>
      </x:c>
      <x:c r="D4" s="6" t="n">
        <x:v>68.9</x:v>
      </x:c>
      <x:c r="E4" s="6" t="n">
        <x:f>IF(D4=0,"n.a.",ROUND((C4-D4)/D4*100,2))</x:f>
        <x:v>13.9</x:v>
      </x:c>
      <x:c r="F4" s="7" t="n">
        <x:v>1.85</x:v>
      </x:c>
    </x:row>
    <x:row r="5" ht="30" customHeight="1">
      <x:c r="A5" s="5" t="str">
        <x:v>Retail Banking</x:v>
      </x:c>
      <x:c r="B5" s="5" t="str">
        <x:v>Provision for Credit Losses</x:v>
      </x:c>
      <x:c r="C5" s="6" t="n">
        <x:v>74.51</x:v>
      </x:c>
      <x:c r="D5" s="6" t="n">
        <x:v>73.35</x:v>
      </x:c>
      <x:c r="E5" s="6" t="n">
        <x:f>IF(D5=0,"n.a.",ROUND((C5-D5)/D5*100,2))</x:f>
        <x:v>1.58</x:v>
      </x:c>
      <x:c r="F5" s="7" t="n">
        <x:v>14.94</x:v>
      </x:c>
    </x:row>
    <x:row r="6" ht="30" customHeight="1">
      <x:c r="A6" s="5" t="str">
        <x:v>Retail Banking</x:v>
      </x:c>
      <x:c r="B6" s="5" t="str">
        <x:v>Operating &amp; Admin Expense</x:v>
      </x:c>
      <x:c r="C6" s="6" t="n">
        <x:v>30.5</x:v>
      </x:c>
      <x:c r="D6" s="6" t="n">
        <x:v>28.83</x:v>
      </x:c>
      <x:c r="E6" s="6" t="n">
        <x:f>IF(D6=0,"n.a.",ROUND((C6-D6)/D6*100,2))</x:f>
        <x:v>5.79</x:v>
      </x:c>
      <x:c r="F6" s="7" t="n">
        <x:v>9.38</x:v>
      </x:c>
    </x:row>
    <x:row r="7" ht="30" customHeight="1">
      <x:c r="A7" s="5" t="str">
        <x:v>Corporate Banking</x:v>
      </x:c>
      <x:c r="B7" s="5" t="str">
        <x:v>Interest Expense</x:v>
      </x:c>
      <x:c r="C7" s="6" t="n">
        <x:v>95.94</x:v>
      </x:c>
      <x:c r="D7" s="6" t="n">
        <x:v>101.11</x:v>
      </x:c>
      <x:c r="E7" s="6" t="n">
        <x:f>IF(D7=0,"n.a.",ROUND((C7-D7)/D7*100,2))</x:f>
        <x:v>-5.11</x:v>
      </x:c>
      <x:c r="F7" s="7" t="n">
        <x:v>-4.32</x:v>
      </x:c>
    </x:row>
    <x:row r="8" ht="30" customHeight="1">
      <x:c r="A8" s="5" t="str">
        <x:v>Corporate Banking</x:v>
      </x:c>
      <x:c r="B8" s="5" t="str">
        <x:v>Personnel Cost</x:v>
      </x:c>
      <x:c r="C8" s="6" t="n">
        <x:v>90.6</x:v>
      </x:c>
      <x:c r="D8" s="6" t="n">
        <x:v>83.05</x:v>
      </x:c>
      <x:c r="E8" s="6" t="n">
        <x:f>IF(D8=0,"n.a.",ROUND((C8-D8)/D8*100,2))</x:f>
        <x:v>9.09</x:v>
      </x:c>
      <x:c r="F8" s="7" t="n">
        <x:v>0.85</x:v>
      </x:c>
    </x:row>
    <x:row r="9" ht="30" customHeight="1">
      <x:c r="A9" s="5" t="str">
        <x:v>Corporate Banking</x:v>
      </x:c>
      <x:c r="B9" s="5" t="str">
        <x:v>IT &amp; Digital Infrastructure</x:v>
      </x:c>
      <x:c r="C9" s="6" t="n">
        <x:v>78.3</x:v>
      </x:c>
      <x:c r="D9" s="6" t="n">
        <x:v>74.59</x:v>
      </x:c>
      <x:c r="E9" s="6" t="n">
        <x:f>IF(D9=0,"n.a.",ROUND((C9-D9)/D9*100,2))</x:f>
        <x:v>4.97</x:v>
      </x:c>
      <x:c r="F9" s="7" t="n">
        <x:v>-2.22</x:v>
      </x:c>
    </x:row>
    <x:row r="10" ht="30" customHeight="1">
      <x:c r="A10" s="5" t="str">
        <x:v>Corporate Banking</x:v>
      </x:c>
      <x:c r="B10" s="5" t="str">
        <x:v>Provision for Credit Losses</x:v>
      </x:c>
      <x:c r="C10" s="6" t="n">
        <x:v>84.49</x:v>
      </x:c>
      <x:c r="D10" s="6" t="n">
        <x:v>70.32</x:v>
      </x:c>
      <x:c r="E10" s="6" t="n">
        <x:f>IF(D10=0,"n.a.",ROUND((C10-D10)/D10*100,2))</x:f>
        <x:v>20.15</x:v>
      </x:c>
      <x:c r="F10" s="7" t="n">
        <x:v>7.65</x:v>
      </x:c>
    </x:row>
    <x:row r="11" ht="30" customHeight="1">
      <x:c r="A11" s="5" t="str">
        <x:v>Corporate Banking</x:v>
      </x:c>
      <x:c r="B11" s="5" t="str">
        <x:v>Operating &amp; Admin Expense</x:v>
      </x:c>
      <x:c r="C11" s="6" t="n">
        <x:v>31.31</x:v>
      </x:c>
      <x:c r="D11" s="6" t="n">
        <x:v>26.46</x:v>
      </x:c>
      <x:c r="E11" s="6" t="n">
        <x:f>IF(D11=0,"n.a.",ROUND((C11-D11)/D11*100,2))</x:f>
        <x:v>18.33</x:v>
      </x:c>
      <x:c r="F11" s="7" t="n">
        <x:v>9.27</x:v>
      </x:c>
    </x:row>
    <x:row r="12" ht="30" customHeight="1">
      <x:c r="A12" s="5" t="str">
        <x:v>SME Banking</x:v>
      </x:c>
      <x:c r="B12" s="5" t="str">
        <x:v>Interest Expense</x:v>
      </x:c>
      <x:c r="C12" s="6" t="n">
        <x:v>92.67</x:v>
      </x:c>
      <x:c r="D12" s="6" t="n">
        <x:v>91.86</x:v>
      </x:c>
      <x:c r="E12" s="6" t="n">
        <x:f>IF(D12=0,"n.a.",ROUND((C12-D12)/D12*100,2))</x:f>
        <x:v>0.88</x:v>
      </x:c>
      <x:c r="F12" s="7" t="n">
        <x:v>-1.25</x:v>
      </x:c>
    </x:row>
    <x:row r="13" ht="30" customHeight="1">
      <x:c r="A13" s="5" t="str">
        <x:v>SME Banking</x:v>
      </x:c>
      <x:c r="B13" s="5" t="str">
        <x:v>Personnel Cost</x:v>
      </x:c>
      <x:c r="C13" s="6" t="n">
        <x:v>27.77</x:v>
      </x:c>
      <x:c r="D13" s="6" t="n">
        <x:v>30.82</x:v>
      </x:c>
      <x:c r="E13" s="6" t="n">
        <x:f>IF(D13=0,"n.a.",ROUND((C13-D13)/D13*100,2))</x:f>
        <x:v>-9.9</x:v>
      </x:c>
      <x:c r="F13" s="7" t="n">
        <x:v>8.61</x:v>
      </x:c>
    </x:row>
    <x:row r="14" ht="30" customHeight="1">
      <x:c r="A14" s="5" t="str">
        <x:v>SME Banking</x:v>
      </x:c>
      <x:c r="B14" s="5" t="str">
        <x:v>IT &amp; Digital Infrastructure</x:v>
      </x:c>
      <x:c r="C14" s="6" t="n">
        <x:v>105.32</x:v>
      </x:c>
      <x:c r="D14" s="6" t="n">
        <x:v>86.97</x:v>
      </x:c>
      <x:c r="E14" s="6" t="n">
        <x:f>IF(D14=0,"n.a.",ROUND((C14-D14)/D14*100,2))</x:f>
        <x:v>21.1</x:v>
      </x:c>
      <x:c r="F14" s="7" t="n">
        <x:v>9.53</x:v>
      </x:c>
    </x:row>
    <x:row r="15" ht="30" customHeight="1">
      <x:c r="A15" s="5" t="str">
        <x:v>SME Banking</x:v>
      </x:c>
      <x:c r="B15" s="5" t="str">
        <x:v>Provision for Credit Losses</x:v>
      </x:c>
      <x:c r="C15" s="6" t="n">
        <x:v>61.43</x:v>
      </x:c>
      <x:c r="D15" s="6" t="n">
        <x:v>65.77</x:v>
      </x:c>
      <x:c r="E15" s="6" t="n">
        <x:f>IF(D15=0,"n.a.",ROUND((C15-D15)/D15*100,2))</x:f>
        <x:v>-6.6</x:v>
      </x:c>
      <x:c r="F15" s="7" t="n">
        <x:v>6.38</x:v>
      </x:c>
    </x:row>
    <x:row r="16" ht="30" customHeight="1">
      <x:c r="A16" s="5" t="str">
        <x:v>SME Banking</x:v>
      </x:c>
      <x:c r="B16" s="5" t="str">
        <x:v>Operating &amp; Admin Expense</x:v>
      </x:c>
      <x:c r="C16" s="6" t="n">
        <x:v>105.36</x:v>
      </x:c>
      <x:c r="D16" s="6" t="n">
        <x:v>99.17</x:v>
      </x:c>
      <x:c r="E16" s="6" t="n">
        <x:f>IF(D16=0,"n.a.",ROUND((C16-D16)/D16*100,2))</x:f>
        <x:v>6.24</x:v>
      </x:c>
      <x:c r="F16" s="7" t="n">
        <x:v>-3.43</x:v>
      </x:c>
    </x:row>
    <x:row r="17" ht="30" customHeight="1">
      <x:c r="A17" s="5" t="str">
        <x:v>Card &amp; Payments</x:v>
      </x:c>
      <x:c r="B17" s="5" t="str">
        <x:v>Interest Expense</x:v>
      </x:c>
      <x:c r="C17" s="6" t="n">
        <x:v>49.86</x:v>
      </x:c>
      <x:c r="D17" s="6" t="n">
        <x:v>52.39</x:v>
      </x:c>
      <x:c r="E17" s="6" t="n">
        <x:f>IF(D17=0,"n.a.",ROUND((C17-D17)/D17*100,2))</x:f>
        <x:v>-4.83</x:v>
      </x:c>
      <x:c r="F17" s="7" t="n">
        <x:v>13.93</x:v>
      </x:c>
    </x:row>
    <x:row r="18" ht="30" customHeight="1">
      <x:c r="A18" s="5" t="str">
        <x:v>Card &amp; Payments</x:v>
      </x:c>
      <x:c r="B18" s="5" t="str">
        <x:v>Personnel Cost</x:v>
      </x:c>
      <x:c r="C18" s="6" t="n">
        <x:v>128.04</x:v>
      </x:c>
      <x:c r="D18" s="6" t="n">
        <x:v>107.24</x:v>
      </x:c>
      <x:c r="E18" s="6" t="n">
        <x:f>IF(D18=0,"n.a.",ROUND((C18-D18)/D18*100,2))</x:f>
        <x:v>19.4</x:v>
      </x:c>
      <x:c r="F18" s="7" t="n">
        <x:v>5.78</x:v>
      </x:c>
    </x:row>
    <x:row r="19" ht="30" customHeight="1">
      <x:c r="A19" s="5" t="str">
        <x:v>Card &amp; Payments</x:v>
      </x:c>
      <x:c r="B19" s="5" t="str">
        <x:v>IT &amp; Digital Infrastructure</x:v>
      </x:c>
      <x:c r="C19" s="6" t="n">
        <x:v>59.76</x:v>
      </x:c>
      <x:c r="D19" s="6" t="n">
        <x:v>63.86</x:v>
      </x:c>
      <x:c r="E19" s="6" t="n">
        <x:f>IF(D19=0,"n.a.",ROUND((C19-D19)/D19*100,2))</x:f>
        <x:v>-6.42</x:v>
      </x:c>
      <x:c r="F19" s="7" t="n">
        <x:v>0.35</x:v>
      </x:c>
    </x:row>
    <x:row r="20" ht="30" customHeight="1">
      <x:c r="A20" s="5" t="str">
        <x:v>Card &amp; Payments</x:v>
      </x:c>
      <x:c r="B20" s="5" t="str">
        <x:v>Provision for Credit Losses</x:v>
      </x:c>
      <x:c r="C20" s="6" t="n">
        <x:v>131.49</x:v>
      </x:c>
      <x:c r="D20" s="6" t="n">
        <x:v>113.53</x:v>
      </x:c>
      <x:c r="E20" s="6" t="n">
        <x:f>IF(D20=0,"n.a.",ROUND((C20-D20)/D20*100,2))</x:f>
        <x:v>15.82</x:v>
      </x:c>
      <x:c r="F20" s="7" t="n">
        <x:v>-2.49</x:v>
      </x:c>
    </x:row>
    <x:row r="21" ht="30" customHeight="1">
      <x:c r="A21" s="5" t="str">
        <x:v>Card &amp; Payments</x:v>
      </x:c>
      <x:c r="B21" s="5" t="str">
        <x:v>Operating &amp; Admin Expense</x:v>
      </x:c>
      <x:c r="C21" s="6" t="n">
        <x:v>42.28</x:v>
      </x:c>
      <x:c r="D21" s="6" t="n">
        <x:v>39.09</x:v>
      </x:c>
      <x:c r="E21" s="6" t="n">
        <x:f>IF(D21=0,"n.a.",ROUND((C21-D21)/D21*100,2))</x:f>
        <x:v>8.16</x:v>
      </x:c>
      <x:c r="F21" s="7" t="n">
        <x:v>-6.19</x:v>
      </x:c>
    </x:row>
    <x:row r="24">
      <x:c r="A24" t="str">
        <x:v>Synthetic training data | May 2026 | amounts: million THB | Percent columns: 10 means 10%</x:v>
      </x:c>
    </x:row>
    <x:row r="25">
      <x:c r="A25" t="str">
        <x:v>Trend / YoY change are supplied assumptions; no prior-period dataset is supplied.</x:v>
      </x:c>
    </x:row>
  </x:sheetData>
  <x:pageMargins left="0.7" right="0.7" top="0.75" bottom="0.75" header="0.3" footer="0.3"/>
  <x:tableParts count="1">
    <x:tablePart xmlns:r="http://schemas.openxmlformats.org/officeDocument/2006/relationships" r:id="R3ae3ebd342114ee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48" hidden="0" customWidth="1"/>
    <x:col min="9" max="9" width="19" hidden="0" customWidth="1"/>
  </x:cols>
  <x:sheetData>
    <x:row r="1" ht="62" customHeight="1">
      <x:c r="A1" s="4" t="str">
        <x:v>BU</x:v>
      </x:c>
      <x:c r="B1" s="4" t="str">
        <x:v>Metric</x:v>
      </x:c>
      <x:c r="C1" s="4" t="str">
        <x:v>Unit</x:v>
      </x:c>
      <x:c r="D1" s="4" t="str">
        <x:v>Actual</x:v>
      </x:c>
      <x:c r="E1" s="4" t="str">
        <x:v>Budget_or_Target</x:v>
      </x:c>
      <x:c r="F1" s="4" t="str">
        <x:v>Difference</x:v>
      </x:c>
      <x:c r="G1" s="4" t="str">
        <x:v>Relative_Variance_Percent</x:v>
      </x:c>
      <x:c r="H1" s="4" t="str">
        <x:v>Explanation</x:v>
      </x:c>
      <x:c r="I1" s="4" t="str">
        <x:v>Difference_Unit</x:v>
      </x:c>
    </x:row>
    <x:row r="2" ht="48" customHeight="1">
      <x:c r="A2" s="5" t="str">
        <x:v>Retail Banking</x:v>
      </x:c>
      <x:c r="B2" s="5" t="str">
        <x:v>Revenue</x:v>
      </x:c>
      <x:c r="C2" s="5" t="str">
        <x:v>Million THB</x:v>
      </x:c>
      <x:c r="D2" s="6" t="n">
        <x:f>ROUND(SUMIFS('Revenue'!$C$2:$C$25,'Revenue'!$A$2:$A$25,A2),2)</x:f>
        <x:v>268.12</x:v>
      </x:c>
      <x:c r="E2" s="6" t="n">
        <x:f>ROUND(SUMIFS('Revenue'!$D$2:$D$25,'Revenue'!$A$2:$A$25,A2),2)</x:f>
        <x:v>258.41</x:v>
      </x:c>
      <x:c r="F2" s="6" t="n">
        <x:f>ROUND(D2-E2,2)</x:f>
        <x:v>9.71</x:v>
      </x:c>
      <x:c r="G2" s="6" t="n">
        <x:f>IF(E2=0,"n.a.",ROUND((D2-E2)/E2*100,2))</x:f>
        <x:v>3.76</x:v>
      </x:c>
      <x:c r="H2" s="5" t="str">
        <x:v>Not provided</x:v>
      </x:c>
      <x:c r="I2" s="5" t="str">
        <x:v>Million THB</x:v>
      </x:c>
    </x:row>
    <x:row r="3" ht="48" customHeight="1">
      <x:c r="A3" s="5" t="str">
        <x:v>Retail Banking</x:v>
      </x:c>
      <x:c r="B3" s="5" t="str">
        <x:v>Interest Expense</x:v>
      </x:c>
      <x:c r="C3" s="5" t="str">
        <x:v>Million THB</x:v>
      </x:c>
      <x:c r="D3" s="6" t="n">
        <x:f>ROUND(SUMIFS('Costs'!$C$2:$C$21,'Costs'!$A$2:$A$21,A3,'Costs'!$B$2:$B$21,"Interest Expense"),2)</x:f>
        <x:v>76.81</x:v>
      </x:c>
      <x:c r="E3" s="6" t="n">
        <x:f>ROUND(SUMIFS('Costs'!$D$2:$D$21,'Costs'!$A$2:$A$21,A3,'Costs'!$B$2:$B$21,"Interest Expense"),2)</x:f>
        <x:v>64.92</x:v>
      </x:c>
      <x:c r="F3" s="6" t="n">
        <x:f>ROUND(D3-E3,2)</x:f>
        <x:v>11.89</x:v>
      </x:c>
      <x:c r="G3" s="6" t="n">
        <x:f>IF(E3=0,"n.a.",ROUND((D3-E3)/E3*100,2))</x:f>
        <x:v>18.31</x:v>
      </x:c>
      <x:c r="H3" s="5" t="str">
        <x:v>Not provided</x:v>
      </x:c>
      <x:c r="I3" s="5" t="str">
        <x:v>Million THB</x:v>
      </x:c>
    </x:row>
    <x:row r="4" ht="48" customHeight="1">
      <x:c r="A4" s="5" t="str">
        <x:v>Retail Banking</x:v>
      </x:c>
      <x:c r="B4" s="5" t="str">
        <x:v>Net Interest Margin</x:v>
      </x:c>
      <x:c r="C4" s="5" t="str">
        <x:v>Percent</x:v>
      </x:c>
      <x:c r="D4" s="6" t="n">
        <x:v>3.41</x:v>
      </x:c>
      <x:c r="E4" s="6" t="n">
        <x:v>3.17</x:v>
      </x:c>
      <x:c r="F4" s="6" t="n">
        <x:f>ROUND(D4-E4,2)</x:f>
        <x:v>0.24</x:v>
      </x:c>
      <x:c r="G4" s="6" t="n">
        <x:f>IF(E4=0,"n.a.",ROUND((D4-E4)/E4*100,2))</x:f>
        <x:v>7.57</x:v>
      </x:c>
      <x:c r="H4" s="5" t="str">
        <x:v>Supplied ratio assumption; not derived from detail</x:v>
      </x:c>
      <x:c r="I4" s="5" t="str">
        <x:v>Percentage points</x:v>
      </x:c>
    </x:row>
    <x:row r="5" ht="48" customHeight="1">
      <x:c r="A5" s="5" t="str">
        <x:v>Retail Banking</x:v>
      </x:c>
      <x:c r="B5" s="5" t="str">
        <x:v>Credit Cost Ratio</x:v>
      </x:c>
      <x:c r="C5" s="5" t="str">
        <x:v>Percent</x:v>
      </x:c>
      <x:c r="D5" s="6" t="n">
        <x:v>2.63</x:v>
      </x:c>
      <x:c r="E5" s="6" t="n">
        <x:v>2.15</x:v>
      </x:c>
      <x:c r="F5" s="6" t="n">
        <x:f>ROUND(D5-E5,2)</x:f>
        <x:v>0.48</x:v>
      </x:c>
      <x:c r="G5" s="6" t="n">
        <x:f>IF(E5=0,"n.a.",ROUND((D5-E5)/E5*100,2))</x:f>
        <x:v>22.33</x:v>
      </x:c>
      <x:c r="H5" s="5" t="str">
        <x:v>Supplied ratio assumption; not derived from detail</x:v>
      </x:c>
      <x:c r="I5" s="5" t="str">
        <x:v>Percentage points</x:v>
      </x:c>
    </x:row>
    <x:row r="6" ht="48" customHeight="1">
      <x:c r="A6" s="5" t="str">
        <x:v>Retail Banking</x:v>
      </x:c>
      <x:c r="B6" s="5" t="str">
        <x:v>Operating Expense</x:v>
      </x:c>
      <x:c r="C6" s="5" t="str">
        <x:v>Million THB</x:v>
      </x:c>
      <x:c r="D6" s="6" t="n">
        <x:f>ROUND(SUMIFS('Costs'!$C$2:$C$21,'Costs'!$A$2:$A$21,A6,'Costs'!$B$2:$B$21,"Personnel Cost")+SUMIFS('Costs'!$C$2:$C$21,'Costs'!$A$2:$A$21,A6,'Costs'!$B$2:$B$21,"IT &amp; Digital Infrastructure")+SUMIFS('Costs'!$C$2:$C$21,'Costs'!$A$2:$A$21,A6,'Costs'!$B$2:$B$21,"Operating &amp; Admin Expense"),2)</x:f>
        <x:v>136.65</x:v>
      </x:c>
      <x:c r="E6" s="6" t="n">
        <x:f>ROUND(SUMIFS('Costs'!$D$2:$D$21,'Costs'!$A$2:$A$21,A6,'Costs'!$B$2:$B$21,"Personnel Cost")+SUMIFS('Costs'!$D$2:$D$21,'Costs'!$A$2:$A$21,A6,'Costs'!$B$2:$B$21,"IT &amp; Digital Infrastructure")+SUMIFS('Costs'!$D$2:$D$21,'Costs'!$A$2:$A$21,A6,'Costs'!$B$2:$B$21,"Operating &amp; Admin Expense"),2)</x:f>
        <x:v>127.02</x:v>
      </x:c>
      <x:c r="F6" s="6" t="n">
        <x:f>ROUND(D6-E6,2)</x:f>
        <x:v>9.63</x:v>
      </x:c>
      <x:c r="G6" s="6" t="n">
        <x:f>IF(E6=0,"n.a.",ROUND((D6-E6)/E6*100,2))</x:f>
        <x:v>7.58</x:v>
      </x:c>
      <x:c r="H6" s="5" t="str">
        <x:v>Not provided</x:v>
      </x:c>
      <x:c r="I6" s="5" t="str">
        <x:v>Million THB</x:v>
      </x:c>
    </x:row>
    <x:row r="7" ht="48" customHeight="1">
      <x:c r="A7" s="5" t="str">
        <x:v>Corporate Banking</x:v>
      </x:c>
      <x:c r="B7" s="5" t="str">
        <x:v>Revenue</x:v>
      </x:c>
      <x:c r="C7" s="5" t="str">
        <x:v>Million THB</x:v>
      </x:c>
      <x:c r="D7" s="6" t="n">
        <x:f>ROUND(SUMIFS('Revenue'!$C$2:$C$25,'Revenue'!$A$2:$A$25,A7),2)</x:f>
        <x:v>235.02</x:v>
      </x:c>
      <x:c r="E7" s="6" t="n">
        <x:f>ROUND(SUMIFS('Revenue'!$D$2:$D$25,'Revenue'!$A$2:$A$25,A7),2)</x:f>
        <x:v>232.5</x:v>
      </x:c>
      <x:c r="F7" s="6" t="n">
        <x:f>ROUND(D7-E7,2)</x:f>
        <x:v>2.52</x:v>
      </x:c>
      <x:c r="G7" s="6" t="n">
        <x:f>IF(E7=0,"n.a.",ROUND((D7-E7)/E7*100,2))</x:f>
        <x:v>1.08</x:v>
      </x:c>
      <x:c r="H7" s="5" t="str">
        <x:v>Not provided</x:v>
      </x:c>
      <x:c r="I7" s="5" t="str">
        <x:v>Million THB</x:v>
      </x:c>
    </x:row>
    <x:row r="8" ht="48" customHeight="1">
      <x:c r="A8" s="5" t="str">
        <x:v>Corporate Banking</x:v>
      </x:c>
      <x:c r="B8" s="5" t="str">
        <x:v>Interest Expense</x:v>
      </x:c>
      <x:c r="C8" s="5" t="str">
        <x:v>Million THB</x:v>
      </x:c>
      <x:c r="D8" s="6" t="n">
        <x:f>ROUND(SUMIFS('Costs'!$C$2:$C$21,'Costs'!$A$2:$A$21,A8,'Costs'!$B$2:$B$21,"Interest Expense"),2)</x:f>
        <x:v>95.94</x:v>
      </x:c>
      <x:c r="E8" s="6" t="n">
        <x:f>ROUND(SUMIFS('Costs'!$D$2:$D$21,'Costs'!$A$2:$A$21,A8,'Costs'!$B$2:$B$21,"Interest Expense"),2)</x:f>
        <x:v>101.11</x:v>
      </x:c>
      <x:c r="F8" s="6" t="n">
        <x:f>ROUND(D8-E8,2)</x:f>
        <x:v>-5.17</x:v>
      </x:c>
      <x:c r="G8" s="6" t="n">
        <x:f>IF(E8=0,"n.a.",ROUND((D8-E8)/E8*100,2))</x:f>
        <x:v>-5.11</x:v>
      </x:c>
      <x:c r="H8" s="5" t="str">
        <x:v>Not provided</x:v>
      </x:c>
      <x:c r="I8" s="5" t="str">
        <x:v>Million THB</x:v>
      </x:c>
    </x:row>
    <x:row r="9" ht="48" customHeight="1">
      <x:c r="A9" s="5" t="str">
        <x:v>Corporate Banking</x:v>
      </x:c>
      <x:c r="B9" s="5" t="str">
        <x:v>Net Interest Margin</x:v>
      </x:c>
      <x:c r="C9" s="5" t="str">
        <x:v>Percent</x:v>
      </x:c>
      <x:c r="D9" s="6" t="n">
        <x:v>3.48</x:v>
      </x:c>
      <x:c r="E9" s="6" t="n">
        <x:v>3.62</x:v>
      </x:c>
      <x:c r="F9" s="6" t="n">
        <x:f>ROUND(D9-E9,2)</x:f>
        <x:v>-0.14</x:v>
      </x:c>
      <x:c r="G9" s="6" t="n">
        <x:f>IF(E9=0,"n.a.",ROUND((D9-E9)/E9*100,2))</x:f>
        <x:v>-3.87</x:v>
      </x:c>
      <x:c r="H9" s="5" t="str">
        <x:v>Supplied ratio assumption; not derived from detail</x:v>
      </x:c>
      <x:c r="I9" s="5" t="str">
        <x:v>Percentage points</x:v>
      </x:c>
    </x:row>
    <x:row r="10" ht="48" customHeight="1">
      <x:c r="A10" s="5" t="str">
        <x:v>Corporate Banking</x:v>
      </x:c>
      <x:c r="B10" s="5" t="str">
        <x:v>Credit Cost Ratio</x:v>
      </x:c>
      <x:c r="C10" s="5" t="str">
        <x:v>Percent</x:v>
      </x:c>
      <x:c r="D10" s="6" t="n">
        <x:v>0.92</x:v>
      </x:c>
      <x:c r="E10" s="6" t="n">
        <x:v>0.81</x:v>
      </x:c>
      <x:c r="F10" s="6" t="n">
        <x:f>ROUND(D10-E10,2)</x:f>
        <x:v>0.11</x:v>
      </x:c>
      <x:c r="G10" s="6" t="n">
        <x:f>IF(E10=0,"n.a.",ROUND((D10-E10)/E10*100,2))</x:f>
        <x:v>13.58</x:v>
      </x:c>
      <x:c r="H10" s="5" t="str">
        <x:v>Supplied ratio assumption; not derived from detail</x:v>
      </x:c>
      <x:c r="I10" s="5" t="str">
        <x:v>Percentage points</x:v>
      </x:c>
    </x:row>
    <x:row r="11" ht="48" customHeight="1">
      <x:c r="A11" s="5" t="str">
        <x:v>Corporate Banking</x:v>
      </x:c>
      <x:c r="B11" s="5" t="str">
        <x:v>Operating Expense</x:v>
      </x:c>
      <x:c r="C11" s="5" t="str">
        <x:v>Million THB</x:v>
      </x:c>
      <x:c r="D11" s="6" t="n">
        <x:f>ROUND(SUMIFS('Costs'!$C$2:$C$21,'Costs'!$A$2:$A$21,A11,'Costs'!$B$2:$B$21,"Personnel Cost")+SUMIFS('Costs'!$C$2:$C$21,'Costs'!$A$2:$A$21,A11,'Costs'!$B$2:$B$21,"IT &amp; Digital Infrastructure")+SUMIFS('Costs'!$C$2:$C$21,'Costs'!$A$2:$A$21,A11,'Costs'!$B$2:$B$21,"Operating &amp; Admin Expense"),2)</x:f>
        <x:v>200.21</x:v>
      </x:c>
      <x:c r="E11" s="6" t="n">
        <x:f>ROUND(SUMIFS('Costs'!$D$2:$D$21,'Costs'!$A$2:$A$21,A11,'Costs'!$B$2:$B$21,"Personnel Cost")+SUMIFS('Costs'!$D$2:$D$21,'Costs'!$A$2:$A$21,A11,'Costs'!$B$2:$B$21,"IT &amp; Digital Infrastructure")+SUMIFS('Costs'!$D$2:$D$21,'Costs'!$A$2:$A$21,A11,'Costs'!$B$2:$B$21,"Operating &amp; Admin Expense"),2)</x:f>
        <x:v>184.1</x:v>
      </x:c>
      <x:c r="F11" s="6" t="n">
        <x:f>ROUND(D11-E11,2)</x:f>
        <x:v>16.11</x:v>
      </x:c>
      <x:c r="G11" s="6" t="n">
        <x:f>IF(E11=0,"n.a.",ROUND((D11-E11)/E11*100,2))</x:f>
        <x:v>8.75</x:v>
      </x:c>
      <x:c r="H11" s="5" t="str">
        <x:v>Not provided</x:v>
      </x:c>
      <x:c r="I11" s="5" t="str">
        <x:v>Million THB</x:v>
      </x:c>
    </x:row>
    <x:row r="12" ht="48" customHeight="1">
      <x:c r="A12" s="5" t="str">
        <x:v>SME Banking</x:v>
      </x:c>
      <x:c r="B12" s="5" t="str">
        <x:v>Revenue</x:v>
      </x:c>
      <x:c r="C12" s="5" t="str">
        <x:v>Million THB</x:v>
      </x:c>
      <x:c r="D12" s="6" t="n">
        <x:f>ROUND(SUMIFS('Revenue'!$C$2:$C$25,'Revenue'!$A$2:$A$25,A12),2)</x:f>
        <x:v>240.84</x:v>
      </x:c>
      <x:c r="E12" s="6" t="n">
        <x:f>ROUND(SUMIFS('Revenue'!$D$2:$D$25,'Revenue'!$A$2:$A$25,A12),2)</x:f>
        <x:v>222.42</x:v>
      </x:c>
      <x:c r="F12" s="6" t="n">
        <x:f>ROUND(D12-E12,2)</x:f>
        <x:v>18.42</x:v>
      </x:c>
      <x:c r="G12" s="6" t="n">
        <x:f>IF(E12=0,"n.a.",ROUND((D12-E12)/E12*100,2))</x:f>
        <x:v>8.28</x:v>
      </x:c>
      <x:c r="H12" s="5" t="str">
        <x:v>Not provided</x:v>
      </x:c>
      <x:c r="I12" s="5" t="str">
        <x:v>Million THB</x:v>
      </x:c>
    </x:row>
    <x:row r="13" ht="48" customHeight="1">
      <x:c r="A13" s="5" t="str">
        <x:v>SME Banking</x:v>
      </x:c>
      <x:c r="B13" s="5" t="str">
        <x:v>Interest Expense</x:v>
      </x:c>
      <x:c r="C13" s="5" t="str">
        <x:v>Million THB</x:v>
      </x:c>
      <x:c r="D13" s="6" t="n">
        <x:f>ROUND(SUMIFS('Costs'!$C$2:$C$21,'Costs'!$A$2:$A$21,A13,'Costs'!$B$2:$B$21,"Interest Expense"),2)</x:f>
        <x:v>92.67</x:v>
      </x:c>
      <x:c r="E13" s="6" t="n">
        <x:f>ROUND(SUMIFS('Costs'!$D$2:$D$21,'Costs'!$A$2:$A$21,A13,'Costs'!$B$2:$B$21,"Interest Expense"),2)</x:f>
        <x:v>91.86</x:v>
      </x:c>
      <x:c r="F13" s="6" t="n">
        <x:f>ROUND(D13-E13,2)</x:f>
        <x:v>0.81</x:v>
      </x:c>
      <x:c r="G13" s="6" t="n">
        <x:f>IF(E13=0,"n.a.",ROUND((D13-E13)/E13*100,2))</x:f>
        <x:v>0.88</x:v>
      </x:c>
      <x:c r="H13" s="5" t="str">
        <x:v>Not provided</x:v>
      </x:c>
      <x:c r="I13" s="5" t="str">
        <x:v>Million THB</x:v>
      </x:c>
    </x:row>
    <x:row r="14" ht="48" customHeight="1">
      <x:c r="A14" s="5" t="str">
        <x:v>SME Banking</x:v>
      </x:c>
      <x:c r="B14" s="5" t="str">
        <x:v>Net Interest Margin</x:v>
      </x:c>
      <x:c r="C14" s="5" t="str">
        <x:v>Percent</x:v>
      </x:c>
      <x:c r="D14" s="6" t="n">
        <x:v>3.16</x:v>
      </x:c>
      <x:c r="E14" s="6" t="n">
        <x:v>3.14</x:v>
      </x:c>
      <x:c r="F14" s="6" t="n">
        <x:f>ROUND(D14-E14,2)</x:f>
        <x:v>0.02</x:v>
      </x:c>
      <x:c r="G14" s="6" t="n">
        <x:f>IF(E14=0,"n.a.",ROUND((D14-E14)/E14*100,2))</x:f>
        <x:v>0.64</x:v>
      </x:c>
      <x:c r="H14" s="5" t="str">
        <x:v>Supplied ratio assumption; not derived from detail</x:v>
      </x:c>
      <x:c r="I14" s="5" t="str">
        <x:v>Percentage points</x:v>
      </x:c>
    </x:row>
    <x:row r="15" ht="48" customHeight="1">
      <x:c r="A15" s="5" t="str">
        <x:v>SME Banking</x:v>
      </x:c>
      <x:c r="B15" s="5" t="str">
        <x:v>Credit Cost Ratio</x:v>
      </x:c>
      <x:c r="C15" s="5" t="str">
        <x:v>Percent</x:v>
      </x:c>
      <x:c r="D15" s="6" t="n">
        <x:v>0.95</x:v>
      </x:c>
      <x:c r="E15" s="6" t="n">
        <x:v>1.07</x:v>
      </x:c>
      <x:c r="F15" s="6" t="n">
        <x:f>ROUND(D15-E15,2)</x:f>
        <x:v>-0.12</x:v>
      </x:c>
      <x:c r="G15" s="6" t="n">
        <x:f>IF(E15=0,"n.a.",ROUND((D15-E15)/E15*100,2))</x:f>
        <x:v>-11.21</x:v>
      </x:c>
      <x:c r="H15" s="5" t="str">
        <x:v>Supplied ratio assumption; not derived from detail</x:v>
      </x:c>
      <x:c r="I15" s="5" t="str">
        <x:v>Percentage points</x:v>
      </x:c>
    </x:row>
    <x:row r="16" ht="48" customHeight="1">
      <x:c r="A16" s="5" t="str">
        <x:v>SME Banking</x:v>
      </x:c>
      <x:c r="B16" s="5" t="str">
        <x:v>Operating Expense</x:v>
      </x:c>
      <x:c r="C16" s="5" t="str">
        <x:v>Million THB</x:v>
      </x:c>
      <x:c r="D16" s="6" t="n">
        <x:f>ROUND(SUMIFS('Costs'!$C$2:$C$21,'Costs'!$A$2:$A$21,A16,'Costs'!$B$2:$B$21,"Personnel Cost")+SUMIFS('Costs'!$C$2:$C$21,'Costs'!$A$2:$A$21,A16,'Costs'!$B$2:$B$21,"IT &amp; Digital Infrastructure")+SUMIFS('Costs'!$C$2:$C$21,'Costs'!$A$2:$A$21,A16,'Costs'!$B$2:$B$21,"Operating &amp; Admin Expense"),2)</x:f>
        <x:v>238.45</x:v>
      </x:c>
      <x:c r="E16" s="6" t="n">
        <x:f>ROUND(SUMIFS('Costs'!$D$2:$D$21,'Costs'!$A$2:$A$21,A16,'Costs'!$B$2:$B$21,"Personnel Cost")+SUMIFS('Costs'!$D$2:$D$21,'Costs'!$A$2:$A$21,A16,'Costs'!$B$2:$B$21,"IT &amp; Digital Infrastructure")+SUMIFS('Costs'!$D$2:$D$21,'Costs'!$A$2:$A$21,A16,'Costs'!$B$2:$B$21,"Operating &amp; Admin Expense"),2)</x:f>
        <x:v>216.96</x:v>
      </x:c>
      <x:c r="F16" s="6" t="n">
        <x:f>ROUND(D16-E16,2)</x:f>
        <x:v>21.49</x:v>
      </x:c>
      <x:c r="G16" s="6" t="n">
        <x:f>IF(E16=0,"n.a.",ROUND((D16-E16)/E16*100,2))</x:f>
        <x:v>9.91</x:v>
      </x:c>
      <x:c r="H16" s="5" t="str">
        <x:v>Not provided</x:v>
      </x:c>
      <x:c r="I16" s="5" t="str">
        <x:v>Million THB</x:v>
      </x:c>
    </x:row>
    <x:row r="17" ht="48" customHeight="1">
      <x:c r="A17" s="5" t="str">
        <x:v>Card &amp; Payments</x:v>
      </x:c>
      <x:c r="B17" s="5" t="str">
        <x:v>Revenue</x:v>
      </x:c>
      <x:c r="C17" s="5" t="str">
        <x:v>Million THB</x:v>
      </x:c>
      <x:c r="D17" s="6" t="n">
        <x:f>ROUND(SUMIFS('Revenue'!$C$2:$C$25,'Revenue'!$A$2:$A$25,A17),2)</x:f>
        <x:v>280.89</x:v>
      </x:c>
      <x:c r="E17" s="6" t="n">
        <x:f>ROUND(SUMIFS('Revenue'!$D$2:$D$25,'Revenue'!$A$2:$A$25,A17),2)</x:f>
        <x:v>288.44</x:v>
      </x:c>
      <x:c r="F17" s="6" t="n">
        <x:f>ROUND(D17-E17,2)</x:f>
        <x:v>-7.55</x:v>
      </x:c>
      <x:c r="G17" s="6" t="n">
        <x:f>IF(E17=0,"n.a.",ROUND((D17-E17)/E17*100,2))</x:f>
        <x:v>-2.62</x:v>
      </x:c>
      <x:c r="H17" s="5" t="str">
        <x:v>Not provided</x:v>
      </x:c>
      <x:c r="I17" s="5" t="str">
        <x:v>Million THB</x:v>
      </x:c>
    </x:row>
    <x:row r="18" ht="48" customHeight="1">
      <x:c r="A18" s="5" t="str">
        <x:v>Card &amp; Payments</x:v>
      </x:c>
      <x:c r="B18" s="5" t="str">
        <x:v>Interest Expense</x:v>
      </x:c>
      <x:c r="C18" s="5" t="str">
        <x:v>Million THB</x:v>
      </x:c>
      <x:c r="D18" s="6" t="n">
        <x:f>ROUND(SUMIFS('Costs'!$C$2:$C$21,'Costs'!$A$2:$A$21,A18,'Costs'!$B$2:$B$21,"Interest Expense"),2)</x:f>
        <x:v>49.86</x:v>
      </x:c>
      <x:c r="E18" s="6" t="n">
        <x:f>ROUND(SUMIFS('Costs'!$D$2:$D$21,'Costs'!$A$2:$A$21,A18,'Costs'!$B$2:$B$21,"Interest Expense"),2)</x:f>
        <x:v>52.39</x:v>
      </x:c>
      <x:c r="F18" s="6" t="n">
        <x:f>ROUND(D18-E18,2)</x:f>
        <x:v>-2.53</x:v>
      </x:c>
      <x:c r="G18" s="6" t="n">
        <x:f>IF(E18=0,"n.a.",ROUND((D18-E18)/E18*100,2))</x:f>
        <x:v>-4.83</x:v>
      </x:c>
      <x:c r="H18" s="5" t="str">
        <x:v>Not provided</x:v>
      </x:c>
      <x:c r="I18" s="5" t="str">
        <x:v>Million THB</x:v>
      </x:c>
    </x:row>
    <x:row r="19" ht="48" customHeight="1">
      <x:c r="A19" s="5" t="str">
        <x:v>Card &amp; Payments</x:v>
      </x:c>
      <x:c r="B19" s="5" t="str">
        <x:v>Net Interest Margin</x:v>
      </x:c>
      <x:c r="C19" s="5" t="str">
        <x:v>Percent</x:v>
      </x:c>
      <x:c r="D19" s="6" t="n">
        <x:v>3.01</x:v>
      </x:c>
      <x:c r="E19" s="6" t="n">
        <x:v>3.15</x:v>
      </x:c>
      <x:c r="F19" s="6" t="n">
        <x:f>ROUND(D19-E19,2)</x:f>
        <x:v>-0.14</x:v>
      </x:c>
      <x:c r="G19" s="6" t="n">
        <x:f>IF(E19=0,"n.a.",ROUND((D19-E19)/E19*100,2))</x:f>
        <x:v>-4.44</x:v>
      </x:c>
      <x:c r="H19" s="5" t="str">
        <x:v>Supplied ratio assumption; not derived from detail</x:v>
      </x:c>
      <x:c r="I19" s="5" t="str">
        <x:v>Percentage points</x:v>
      </x:c>
    </x:row>
    <x:row r="20" ht="48" customHeight="1">
      <x:c r="A20" s="5" t="str">
        <x:v>Card &amp; Payments</x:v>
      </x:c>
      <x:c r="B20" s="5" t="str">
        <x:v>Credit Cost Ratio</x:v>
      </x:c>
      <x:c r="C20" s="5" t="str">
        <x:v>Percent</x:v>
      </x:c>
      <x:c r="D20" s="6" t="n">
        <x:v>0.92</x:v>
      </x:c>
      <x:c r="E20" s="6" t="n">
        <x:v>1</x:v>
      </x:c>
      <x:c r="F20" s="6" t="n">
        <x:f>ROUND(D20-E20,2)</x:f>
        <x:v>-0.08</x:v>
      </x:c>
      <x:c r="G20" s="6" t="n">
        <x:f>IF(E20=0,"n.a.",ROUND((D20-E20)/E20*100,2))</x:f>
        <x:v>-8</x:v>
      </x:c>
      <x:c r="H20" s="5" t="str">
        <x:v>Supplied ratio assumption; not derived from detail</x:v>
      </x:c>
      <x:c r="I20" s="5" t="str">
        <x:v>Percentage points</x:v>
      </x:c>
    </x:row>
    <x:row r="21" ht="48" customHeight="1">
      <x:c r="A21" s="5" t="str">
        <x:v>Card &amp; Payments</x:v>
      </x:c>
      <x:c r="B21" s="5" t="str">
        <x:v>Operating Expense</x:v>
      </x:c>
      <x:c r="C21" s="5" t="str">
        <x:v>Million THB</x:v>
      </x:c>
      <x:c r="D21" s="6" t="n">
        <x:f>ROUND(SUMIFS('Costs'!$C$2:$C$21,'Costs'!$A$2:$A$21,A21,'Costs'!$B$2:$B$21,"Personnel Cost")+SUMIFS('Costs'!$C$2:$C$21,'Costs'!$A$2:$A$21,A21,'Costs'!$B$2:$B$21,"IT &amp; Digital Infrastructure")+SUMIFS('Costs'!$C$2:$C$21,'Costs'!$A$2:$A$21,A21,'Costs'!$B$2:$B$21,"Operating &amp; Admin Expense"),2)</x:f>
        <x:v>230.08</x:v>
      </x:c>
      <x:c r="E21" s="6" t="n">
        <x:f>ROUND(SUMIFS('Costs'!$D$2:$D$21,'Costs'!$A$2:$A$21,A21,'Costs'!$B$2:$B$21,"Personnel Cost")+SUMIFS('Costs'!$D$2:$D$21,'Costs'!$A$2:$A$21,A21,'Costs'!$B$2:$B$21,"IT &amp; Digital Infrastructure")+SUMIFS('Costs'!$D$2:$D$21,'Costs'!$A$2:$A$21,A21,'Costs'!$B$2:$B$21,"Operating &amp; Admin Expense"),2)</x:f>
        <x:v>210.19</x:v>
      </x:c>
      <x:c r="F21" s="6" t="n">
        <x:f>ROUND(D21-E21,2)</x:f>
        <x:v>19.89</x:v>
      </x:c>
      <x:c r="G21" s="6" t="n">
        <x:f>IF(E21=0,"n.a.",ROUND((D21-E21)/E21*100,2))</x:f>
        <x:v>9.46</x:v>
      </x:c>
      <x:c r="H21" s="5" t="str">
        <x:v>Not provided</x:v>
      </x:c>
      <x:c r="I21" s="5" t="str">
        <x:v>Million THB</x:v>
      </x:c>
    </x:row>
    <x:row r="24">
      <x:c r="A24" t="str">
        <x:v>Synthetic training data | May 2026 | Ratio changes: percentage points; relative variance: percent.</x:v>
      </x:c>
    </x:row>
    <x:row r="25">
      <x:c r="A25" t="str">
        <x:v>Operating Expense = Personnel Cost + IT &amp; Digital Infrastructure + Operating &amp; Admin Expense.</x:v>
      </x:c>
    </x:row>
    <x:row r="26">
      <x:c r="A26" t="str">
        <x:v>Monetary root causes are not provided. Supplied ratio assumptions cannot be derived from this workbook.</x:v>
      </x:c>
    </x:row>
  </x:sheetData>
  <x:pageMargins left="0.7" right="0.7" top="0.75" bottom="0.75" header="0.3" footer="0.3"/>
  <x:tableParts count="1">
    <x:tablePart xmlns:r="http://schemas.openxmlformats.org/officeDocument/2006/relationships" r:id="R39603babec8041dd"/>
  </x:tableParts>
</x:worksheet>
</file>