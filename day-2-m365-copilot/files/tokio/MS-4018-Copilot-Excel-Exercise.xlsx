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ghathaiS\Downloads\"/>
    </mc:Choice>
  </mc:AlternateContent>
  <xr:revisionPtr revIDLastSave="0" documentId="8_{A2FC403E-A1C0-44A6-8830-3FC0DCA20D35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Customer_Feedback" sheetId="1" r:id="rId1"/>
    <sheet name="Instructions" sheetId="2" r:id="rId2"/>
    <sheet name="Answer_Ke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C29" i="2"/>
  <c r="C30" i="2"/>
  <c r="C27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<sst xmlns="http://schemas.openxmlformats.org/spreadsheetml/2006/main" count="450" uniqueCount="229">
  <si>
    <t>🏢  Tokio Marine Life Insurance Thailand — Customer Feedback Dataset</t>
  </si>
  <si>
    <t>FeedbackID</t>
  </si>
  <si>
    <t>Date</t>
  </si>
  <si>
    <t>CustomerName</t>
  </si>
  <si>
    <t>PolicyType</t>
  </si>
  <si>
    <t>Channel</t>
  </si>
  <si>
    <t>FeedbackText</t>
  </si>
  <si>
    <t>Sentiment
(=COPILOT)</t>
  </si>
  <si>
    <t>Category
(=COPILOT)</t>
  </si>
  <si>
    <t>Priority
(=COPILOT)</t>
  </si>
  <si>
    <t>Agent_Notes</t>
  </si>
  <si>
    <t>FollowUp_Required</t>
  </si>
  <si>
    <t>FB-001</t>
  </si>
  <si>
    <t>2024-11-01</t>
  </si>
  <si>
    <t>Somchai Srisuk</t>
  </si>
  <si>
    <t>Term Life</t>
  </si>
  <si>
    <t>Phone</t>
  </si>
  <si>
    <t>The claim process was very smooth and the staff explained everything clearly. I received my payment within 5 business days. Highly recommend Tokio Marine!</t>
  </si>
  <si>
    <t>FB-002</t>
  </si>
  <si>
    <t>2024-11-02</t>
  </si>
  <si>
    <t>Nattaya Pongpan</t>
  </si>
  <si>
    <t>Whole Life</t>
  </si>
  <si>
    <t>Email</t>
  </si>
  <si>
    <t>I am very unhappy with the premium increase. No one informed me beforehand and the new rate is 20% higher. This is unacceptable service.</t>
  </si>
  <si>
    <t>FB-003</t>
  </si>
  <si>
    <t>2024-11-03</t>
  </si>
  <si>
    <t>Wichai Thanawit</t>
  </si>
  <si>
    <t>Health Rider</t>
  </si>
  <si>
    <t>In-Person</t>
  </si>
  <si>
    <t>The agent was helpful but the waiting time at the branch was almost 2 hours. Please improve the queue system.</t>
  </si>
  <si>
    <t>FB-004</t>
  </si>
  <si>
    <t>2024-11-05</t>
  </si>
  <si>
    <t>Lalita Suwan</t>
  </si>
  <si>
    <t>Critical Illness</t>
  </si>
  <si>
    <t>App</t>
  </si>
  <si>
    <t>Love the new mobile app! Checking my policy details and downloading documents is now so convenient. Great improvement from last year.</t>
  </si>
  <si>
    <t>FB-005</t>
  </si>
  <si>
    <t>2024-11-06</t>
  </si>
  <si>
    <t>Prayut Kongkaew</t>
  </si>
  <si>
    <t>My claim was rejected without a proper explanation. I submitted all required documents and still got refused. Very disappointed.</t>
  </si>
  <si>
    <t>FB-006</t>
  </si>
  <si>
    <t>2024-11-07</t>
  </si>
  <si>
    <t>Siriporn Rattana</t>
  </si>
  <si>
    <t>Endowment</t>
  </si>
  <si>
    <t>The renewal reminder was sent only 3 days before the due date. I almost missed the payment. Please send reminders earlier.</t>
  </si>
  <si>
    <t>FB-007</t>
  </si>
  <si>
    <t>2024-11-08</t>
  </si>
  <si>
    <t>Thanit Boonsuk</t>
  </si>
  <si>
    <t>Premium payment via the app works perfectly. The confirmation SMS arrived instantly. Thank you for the seamless experience.</t>
  </si>
  <si>
    <t>FB-008</t>
  </si>
  <si>
    <t>2024-11-09</t>
  </si>
  <si>
    <t>Kanokporn Chai</t>
  </si>
  <si>
    <t>Staff member Khun Malee was extremely professional and patient. She helped me understand my policy benefits in detail. Excellent service!</t>
  </si>
  <si>
    <t>FB-009</t>
  </si>
  <si>
    <t>2024-11-11</t>
  </si>
  <si>
    <t>Wattana Jinda</t>
  </si>
  <si>
    <t>I have been trying to reach customer service for 3 days. The hotline is always busy. Please hire more staff or provide chat support.</t>
  </si>
  <si>
    <t>FB-010</t>
  </si>
  <si>
    <t>2024-11-12</t>
  </si>
  <si>
    <t>Orawan Sukthaworn</t>
  </si>
  <si>
    <t>The medical underwriting process took 6 weeks. Other insurers process it in 2 weeks. Please streamline your procedures.</t>
  </si>
  <si>
    <t>FB-011</t>
  </si>
  <si>
    <t>2024-11-13</t>
  </si>
  <si>
    <t>Prasit Nontana</t>
  </si>
  <si>
    <t>The maturity payout was processed exactly on the due date and deposited into my account. Very reliable and trustworthy company.</t>
  </si>
  <si>
    <t>FB-012</t>
  </si>
  <si>
    <t>2024-11-14</t>
  </si>
  <si>
    <t>Chutima Waree</t>
  </si>
  <si>
    <t>I requested a policy loan 2 weeks ago and there is no update. The customer service could not give me a timeline. This is frustrating.</t>
  </si>
  <si>
    <t>FB-013</t>
  </si>
  <si>
    <t>2024-11-15</t>
  </si>
  <si>
    <t>Narong Phetchai</t>
  </si>
  <si>
    <t>The branch office had a comfortable waiting area and the staff greeted me warmly. The advisor clearly explained my coverage options.</t>
  </si>
  <si>
    <t>FB-014</t>
  </si>
  <si>
    <t>2024-11-18</t>
  </si>
  <si>
    <t>Malee Sombat</t>
  </si>
  <si>
    <t>I received incorrect billing amount on my last statement. The overcharge was 1,500 baht. I need this corrected immediately.</t>
  </si>
  <si>
    <t>FB-015</t>
  </si>
  <si>
    <t>2024-11-19</t>
  </si>
  <si>
    <t>Somying Thaipat</t>
  </si>
  <si>
    <t>Being diagnosed with cancer was already stressful. But Tokio Marine's claim team called me proactively and guided me through every step. I am truly grateful.</t>
  </si>
  <si>
    <t>FB-016</t>
  </si>
  <si>
    <t>2024-11-20</t>
  </si>
  <si>
    <t>Vorapong Kham</t>
  </si>
  <si>
    <t>The annual statement shows different values than what I see in the app. There seems to be a data discrepancy. Please investigate.</t>
  </si>
  <si>
    <t>FB-017</t>
  </si>
  <si>
    <t>2024-11-21</t>
  </si>
  <si>
    <t>Ratchada Bunyong</t>
  </si>
  <si>
    <t>Your agent mis-sold me a product that does not match my needs. I want to file a formal complaint and request a full refund of premiums paid.</t>
  </si>
  <si>
    <t>FB-018</t>
  </si>
  <si>
    <t>2024-11-22</t>
  </si>
  <si>
    <t>Jiraporn Suwit</t>
  </si>
  <si>
    <t>Thank you for the birthday card and special discount offer! Small gestures like this make customers feel valued. I will renew my policy for sure.</t>
  </si>
  <si>
    <t>FB-019</t>
  </si>
  <si>
    <t>2024-11-25</t>
  </si>
  <si>
    <t>Anan Worachit</t>
  </si>
  <si>
    <t>The hospital cashless claim feature is a game-changer. I was admitted last week and never had to worry about upfront payment. Absolutely brilliant.</t>
  </si>
  <si>
    <t>FB-020</t>
  </si>
  <si>
    <t>2024-11-26</t>
  </si>
  <si>
    <t>Wilawan Maha</t>
  </si>
  <si>
    <t>I have been a customer for 15 years and my loyalty has never been recognised. Newer customers get better rates while I pay more. This is unfair.</t>
  </si>
  <si>
    <t>FB-021</t>
  </si>
  <si>
    <t>2024-11-27</t>
  </si>
  <si>
    <t>Boonmee Prapas</t>
  </si>
  <si>
    <t>Claim form is too complicated. It requires 14 separate documents and the form itself is 8 pages long. Other insurers have digital claim submission.</t>
  </si>
  <si>
    <t>FB-022</t>
  </si>
  <si>
    <t>2024-11-28</t>
  </si>
  <si>
    <t>Tippawan Rodna</t>
  </si>
  <si>
    <t>My policy document arrived within 3 days of signing. Everything was clearly explained by the agent beforehand. Very professional process from start to finish.</t>
  </si>
  <si>
    <t>FB-023</t>
  </si>
  <si>
    <t>2024-11-29</t>
  </si>
  <si>
    <t>Krit Phasuk</t>
  </si>
  <si>
    <t>The investment return on my endowment policy this year is only 1.2%. This is lower than a savings account. I am considering surrendering the policy.</t>
  </si>
  <si>
    <t>FB-024</t>
  </si>
  <si>
    <t>2024-12-02</t>
  </si>
  <si>
    <t>Napaporn Thong</t>
  </si>
  <si>
    <t>I want to add my newborn child as a beneficiary. The online portal does not have this option and I was told to visit a branch. Please add this feature online.</t>
  </si>
  <si>
    <t>FB-025</t>
  </si>
  <si>
    <t>2024-12-03</t>
  </si>
  <si>
    <t>Surin Phakde</t>
  </si>
  <si>
    <t>Emergency hospitalisation last month. Your 24-hour helpline was answered in under 30 seconds at 2am. The agent was calm, helpful, and arranged everything. Life-saver — literally.</t>
  </si>
  <si>
    <t>💡  Yellow columns (G, H, I) are for your =COPILOT() formulas.  See 'Instructions' sheet for step-by-step guidance.</t>
  </si>
  <si>
    <t>📋  Exercise Guide: Using =COPILOT() in Microsoft Excel</t>
  </si>
  <si>
    <t>Tokio Marine Life Insurance Thailand  |  M365 Copilot Workshop  |  Intermediate–Advanced</t>
  </si>
  <si>
    <t xml:space="preserve">   🎯  Learning Objectives</t>
  </si>
  <si>
    <t>1</t>
  </si>
  <si>
    <t>Understand =COPILOT()</t>
  </si>
  <si>
    <t>Learn how the =COPILOT() AI formula works in Excel with a Microsoft 365 Copilot licence.</t>
  </si>
  <si>
    <t>2</t>
  </si>
  <si>
    <t>Analyse Sentiment</t>
  </si>
  <si>
    <t>Use =COPILOT() to automatically classify customer feedback as Positive, Negative, or Neutral.</t>
  </si>
  <si>
    <t>3</t>
  </si>
  <si>
    <t>Categorise Feedback</t>
  </si>
  <si>
    <t>Detect the type of issue: Claim, Premium, Service, Product, App, or Compliment.</t>
  </si>
  <si>
    <t>4</t>
  </si>
  <si>
    <t>Prioritise Cases</t>
  </si>
  <si>
    <t>Auto-assign High / Medium / Low priority so the customer service team can act fast.</t>
  </si>
  <si>
    <t>5</t>
  </si>
  <si>
    <t>Real-world Application</t>
  </si>
  <si>
    <t>Apply results to identify systemic issues and improve life insurance customer experience.</t>
  </si>
  <si>
    <t xml:space="preserve">   📋  Prerequisites &amp; Setup</t>
  </si>
  <si>
    <t>✔</t>
  </si>
  <si>
    <t>Microsoft 365 Licence</t>
  </si>
  <si>
    <t>Excel for Microsoft 365</t>
  </si>
  <si>
    <t>Use Excel desktop app (not Excel Online) — =COPILOT() is a desktop-only feature currently.</t>
  </si>
  <si>
    <t>Internet Connection</t>
  </si>
  <si>
    <t>Copilot formulas require an active internet connection to process each cell in real-time.</t>
  </si>
  <si>
    <t>Go to Sheet</t>
  </si>
  <si>
    <t>Click the 'Customer_Feedback' tab below to see 25 rows of real life insurance customer feedback.</t>
  </si>
  <si>
    <t xml:space="preserve">   ✍️  Step-by-Step Exercise</t>
  </si>
  <si>
    <t>Navigate to Customer_Feedback sheet</t>
  </si>
  <si>
    <t>Click the 'Customer_Feedback' tab. You will see 25 rows of feedback from Tokio Marine customers. Columns G, H, I (highlighted in yellow) are where you will write your =COPILOT() formulas.</t>
  </si>
  <si>
    <t>Sentiment Analysis — Column G</t>
  </si>
  <si>
    <t>Click cell G3 (first data row under 'Sentiment'). Type the formula below and press Enter. Copilot will read the FeedbackText in column F and return: Positive, Negative, or Neutral.</t>
  </si>
  <si>
    <t>Copy formula down column G</t>
  </si>
  <si>
    <t>After Copilot processes G3, click G3 again → copy (Ctrl+C) → select G4:G27 → paste (Ctrl+V). Each cell will independently call Copilot. This may take 30–60 seconds for all rows.</t>
  </si>
  <si>
    <t>Category Detection — Column H</t>
  </si>
  <si>
    <t>Click cell H3. Type the formula below. Copilot will classify the feedback into one of: Claim, Premium, Service, Product, App, Billing, or Compliment.</t>
  </si>
  <si>
    <t>Priority Assignment — Column I</t>
  </si>
  <si>
    <t>Click cell I3. Type the formula below. Copilot assigns High / Medium / Low based on urgency, negative sentiment, financial impact, or regulatory risk (OIC compliance).</t>
  </si>
  <si>
    <t>6</t>
  </si>
  <si>
    <t>Review and validate results</t>
  </si>
  <si>
    <t>Compare your Copilot results with the Answer_Key sheet. Note any differences. Discuss: when does Copilot get it wrong? How can you improve the prompt for better accuracy?</t>
  </si>
  <si>
    <t>7</t>
  </si>
  <si>
    <t>Bonus: Pivot Table analysis</t>
  </si>
  <si>
    <t>Insert a PivotTable (Insert → PivotTable) on a new sheet. Count feedback by Sentiment + Category. Which issue type has the most Negative + High Priority items? Present findings to the class.</t>
  </si>
  <si>
    <t xml:space="preserve">   📐  Formulas to Use</t>
  </si>
  <si>
    <t>fx</t>
  </si>
  <si>
    <t>Sentiment (G3)</t>
  </si>
  <si>
    <t>Category (H3)</t>
  </si>
  <si>
    <t>Priority (I3)</t>
  </si>
  <si>
    <t>Combined (single)</t>
  </si>
  <si>
    <t xml:space="preserve">   💡  Tips &amp; Troubleshooting</t>
  </si>
  <si>
    <t>⚡</t>
  </si>
  <si>
    <t>Performance Tip</t>
  </si>
  <si>
    <t>Process 5 rows at a time to avoid overwhelming Copilot. It processes sequentially, not in parallel.</t>
  </si>
  <si>
    <t>🔁</t>
  </si>
  <si>
    <t>If formula returns #VALUE!</t>
  </si>
  <si>
    <t>This means Copilot timed out. Press F2 then Enter on that cell to retry.</t>
  </si>
  <si>
    <t>📝</t>
  </si>
  <si>
    <t>Improving accuracy</t>
  </si>
  <si>
    <t>Add more context to your prompt: e.g., 'This is from a Thai life insurance company' for better classification.</t>
  </si>
  <si>
    <t>🔒</t>
  </si>
  <si>
    <t>Data Privacy</t>
  </si>
  <si>
    <t>📊</t>
  </si>
  <si>
    <t>Batch Processing</t>
  </si>
  <si>
    <t>For large datasets, consider Microsoft Copilot in Power Automate for bulk sentiment analysis instead.</t>
  </si>
  <si>
    <t>✅  Answer Key — Expected =COPILOT() Results (Tokio Marine Life Insurance Thailand)</t>
  </si>
  <si>
    <t>Note: AI results may vary slightly — compare the intent, not exact wording. Discuss any differences in class.</t>
  </si>
  <si>
    <t>Sentiment</t>
  </si>
  <si>
    <t>Category</t>
  </si>
  <si>
    <t>Priority</t>
  </si>
  <si>
    <t>Trainer Notes</t>
  </si>
  <si>
    <t>Positive</t>
  </si>
  <si>
    <t>Service</t>
  </si>
  <si>
    <t>Low</t>
  </si>
  <si>
    <t>Clear praise, fast claim payout. Benchmark for claims excellence.</t>
  </si>
  <si>
    <t>Negative</t>
  </si>
  <si>
    <t>Premium</t>
  </si>
  <si>
    <t>High</t>
  </si>
  <si>
    <t>20% rate increase without notice — potential OIC notification breach.</t>
  </si>
  <si>
    <t>Medium</t>
  </si>
  <si>
    <t>Branch wait time complaint. Operational improvement needed.</t>
  </si>
  <si>
    <t>App satisfaction. Use as testimonial for digital transformation.</t>
  </si>
  <si>
    <t>Claim</t>
  </si>
  <si>
    <t>Rejected claim without explanation — legal &amp; regulatory risk.</t>
  </si>
  <si>
    <t>Late renewal reminder. Process improvement needed.</t>
  </si>
  <si>
    <t>App payment satisfaction. Reinforces digital channel investment.</t>
  </si>
  <si>
    <t>Staff commendation. Share with HR/training team.</t>
  </si>
  <si>
    <t>Unable to reach hotline for 3 days — critical contact centre failure.</t>
  </si>
  <si>
    <t>Slow underwriting (6 weeks vs 2 weeks benchmark). Process gap.</t>
  </si>
  <si>
    <t>On-time maturity payout. Financial reliability confirmed.</t>
  </si>
  <si>
    <t>Policy loan stuck 2 weeks with no update — escalation required.</t>
  </si>
  <si>
    <t>Branch experience positive. Good agent communication.</t>
  </si>
  <si>
    <t>Billing</t>
  </si>
  <si>
    <t>Billing error (1,500 THB overcharge). Financial complaint — must resolve.</t>
  </si>
  <si>
    <t>Cancer claim handled with empathy. Exceptional case management.</t>
  </si>
  <si>
    <t>Data discrepancy between app and statement. IT issue.</t>
  </si>
  <si>
    <t>Product</t>
  </si>
  <si>
    <t>Mis-selling complaint — formal complaint + refund request. Legal risk.</t>
  </si>
  <si>
    <t>Loyalty gesture appreciated. Drives renewal. CX best practice.</t>
  </si>
  <si>
    <t>Cashless claim praised. Key differentiator for Health Rider product.</t>
  </si>
  <si>
    <t>Loyalty pricing complaint. Retention risk for 15-year customer.</t>
  </si>
  <si>
    <t>Overly complex 14-document claim form. UX redesign opportunity.</t>
  </si>
  <si>
    <t>Fast policy delivery + clear explanation. Onboarding excellence.</t>
  </si>
  <si>
    <t>1.2% return below market. Surrender risk — needs proactive advisor contact.</t>
  </si>
  <si>
    <t>Beneficiary change not available online. Digital feature gap.</t>
  </si>
  <si>
    <t>2am emergency handled brilliantly. 24/7 service excellence award candidate.</t>
  </si>
  <si>
    <t>📊  Summary (use as discussion reference): Positive: 10  |  Negative: 13  |  Neutral: 2  |  High Priority: 9  |  Medium: 6  |  Low: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</si>
</sst>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color rgb="FF0F1923"/>
      <name val="Calibri"/>
    </font>
    <font>
      <b/>
      <sz val="10"/>
      <color rgb="FF0078D4"/>
      <name val="Calibri"/>
    </font>
    <font>
      <b/>
      <sz val="10"/>
      <color rgb="FFCA5010"/>
      <name val="Calibri"/>
    </font>
    <font>
      <b/>
      <sz val="11"/>
      <color rgb="FFFFFFFF"/>
      <name val="Calibri"/>
    </font>
    <font>
      <b/>
      <sz val="10"/>
      <color rgb="FF0F1923"/>
      <name val="Calibri"/>
    </font>
    <font>
      <b/>
      <sz val="9"/>
      <color rgb="FFFFFFFF"/>
      <name val="Calibri"/>
    </font>
    <font>
      <b/>
      <sz val="10"/>
      <color rgb="FF107C10"/>
      <name val="Calibri"/>
    </font>
    <font>
      <sz val="10"/>
      <color rgb="FF005000"/>
      <name val="Courier New"/>
    </font>
    <font>
      <b/>
      <sz val="13"/>
      <color rgb="FFFFFFFF"/>
      <name val="Calibri"/>
    </font>
    <font>
      <i/>
      <sz val="10"/>
      <color rgb="FF605E5C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002050"/>
      </patternFill>
    </fill>
    <fill>
      <patternFill patternType="solid">
        <fgColor rgb="FF0078D4"/>
      </patternFill>
    </fill>
    <fill>
      <patternFill patternType="solid">
        <fgColor rgb="FFEFF6FC"/>
      </patternFill>
    </fill>
    <fill>
      <patternFill patternType="solid">
        <fgColor rgb="FFFFFDE7"/>
      </patternFill>
    </fill>
    <fill>
      <patternFill patternType="solid">
        <fgColor rgb="FFF0F4FF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3F2F1"/>
      </patternFill>
    </fill>
    <fill>
      <patternFill patternType="solid">
        <fgColor rgb="FF00B4C8"/>
      </patternFill>
    </fill>
    <fill>
      <patternFill patternType="solid">
        <fgColor rgb="FF107C10"/>
      </patternFill>
    </fill>
    <fill>
      <patternFill patternType="solid">
        <fgColor rgb="FFE8F5E9"/>
      </patternFill>
    </fill>
    <fill>
      <patternFill patternType="solid">
        <fgColor rgb="FFCA5010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0F1923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78D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7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7" fillId="4" borderId="2" xfId="0" applyFont="1" applyFill="1" applyBorder="1" applyAlignment="1">
      <alignment horizontal="left" vertical="center"/>
    </xf>
    <xf numFmtId="0" fontId="0" fillId="4" borderId="2" xfId="0" applyFill="1" applyBorder="1"/>
    <xf numFmtId="0" fontId="8" fillId="11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 wrapText="1"/>
    </xf>
    <xf numFmtId="0" fontId="0" fillId="8" borderId="2" xfId="0" applyFill="1" applyBorder="1"/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7" fillId="1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7" fillId="15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8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0" fillId="12" borderId="2" xfId="0" applyFont="1" applyFill="1" applyBorder="1" applyAlignment="1">
      <alignment horizontal="left" vertical="center"/>
    </xf>
    <xf numFmtId="0" fontId="0" fillId="0" borderId="2" xfId="0" applyBorder="1"/>
    <xf numFmtId="0" fontId="6" fillId="3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35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pane ySplit="2" topLeftCell="A3" activePane="bottomLeft" state="frozen"/>
      <selection pane="bottomLeft" activeCell="G6" sqref="G6"/>
    </sheetView>
  </sheetViews>
  <sheetFormatPr defaultRowHeight="14.6" x14ac:dyDescent="0.4"/>
  <cols>
    <col min="1" max="1" width="14" customWidth="1"/>
    <col min="2" max="2" width="12" customWidth="1"/>
    <col min="3" max="3" width="20" customWidth="1"/>
    <col min="4" max="4" width="22" customWidth="1"/>
    <col min="5" max="5" width="14" customWidth="1"/>
    <col min="6" max="6" width="60" customWidth="1"/>
    <col min="7" max="7" width="18" customWidth="1"/>
    <col min="8" max="8" width="22" customWidth="1"/>
    <col min="9" max="9" width="14" customWidth="1"/>
    <col min="10" max="10" width="28" customWidth="1"/>
    <col min="11" max="11" width="18" customWidth="1"/>
  </cols>
  <sheetData>
    <row r="1" spans="1:11" ht="28" customHeight="1" x14ac:dyDescent="0.4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32.15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52" customHeight="1" x14ac:dyDescent="0.4">
      <c r="A3" s="2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5" t="s">
        <v>17</v>
      </c>
      <c r="G3" s="6"/>
      <c r="H3" s="6"/>
      <c r="I3" s="6"/>
      <c r="J3" s="7"/>
      <c r="K3" s="7"/>
    </row>
    <row r="4" spans="1:11" ht="52" customHeight="1" x14ac:dyDescent="0.4">
      <c r="A4" s="8" t="s">
        <v>18</v>
      </c>
      <c r="B4" s="9" t="s">
        <v>19</v>
      </c>
      <c r="C4" s="10" t="s">
        <v>20</v>
      </c>
      <c r="D4" s="10" t="s">
        <v>21</v>
      </c>
      <c r="E4" s="10" t="s">
        <v>22</v>
      </c>
      <c r="F4" s="11" t="s">
        <v>23</v>
      </c>
      <c r="G4" s="6"/>
      <c r="H4" s="6"/>
      <c r="I4" s="6"/>
      <c r="J4" s="7"/>
      <c r="K4" s="7"/>
    </row>
    <row r="5" spans="1:11" ht="52" customHeight="1" x14ac:dyDescent="0.4">
      <c r="A5" s="2" t="s">
        <v>24</v>
      </c>
      <c r="B5" s="3" t="s">
        <v>25</v>
      </c>
      <c r="C5" s="4" t="s">
        <v>26</v>
      </c>
      <c r="D5" s="4" t="s">
        <v>27</v>
      </c>
      <c r="E5" s="4" t="s">
        <v>28</v>
      </c>
      <c r="F5" s="5" t="s">
        <v>29</v>
      </c>
      <c r="G5" s="6"/>
      <c r="H5" s="6"/>
      <c r="I5" s="6"/>
      <c r="J5" s="7"/>
      <c r="K5" s="7"/>
    </row>
    <row r="6" spans="1:11" ht="52" customHeight="1" x14ac:dyDescent="0.4">
      <c r="A6" s="8" t="s">
        <v>30</v>
      </c>
      <c r="B6" s="9" t="s">
        <v>31</v>
      </c>
      <c r="C6" s="10" t="s">
        <v>32</v>
      </c>
      <c r="D6" s="10" t="s">
        <v>33</v>
      </c>
      <c r="E6" s="10" t="s">
        <v>34</v>
      </c>
      <c r="F6" s="11" t="s">
        <v>35</v>
      </c>
      <c r="G6" s="6"/>
      <c r="H6" s="6"/>
      <c r="I6" s="6"/>
      <c r="J6" s="7"/>
      <c r="K6" s="7"/>
    </row>
    <row r="7" spans="1:11" ht="52" customHeight="1" x14ac:dyDescent="0.4">
      <c r="A7" s="2" t="s">
        <v>36</v>
      </c>
      <c r="B7" s="3" t="s">
        <v>37</v>
      </c>
      <c r="C7" s="4" t="s">
        <v>38</v>
      </c>
      <c r="D7" s="4" t="s">
        <v>15</v>
      </c>
      <c r="E7" s="4" t="s">
        <v>16</v>
      </c>
      <c r="F7" s="5" t="s">
        <v>39</v>
      </c>
      <c r="G7" s="6"/>
      <c r="H7" s="6"/>
      <c r="I7" s="6"/>
      <c r="J7" s="7"/>
      <c r="K7" s="7"/>
    </row>
    <row r="8" spans="1:11" ht="52" customHeight="1" x14ac:dyDescent="0.4">
      <c r="A8" s="8" t="s">
        <v>40</v>
      </c>
      <c r="B8" s="9" t="s">
        <v>41</v>
      </c>
      <c r="C8" s="10" t="s">
        <v>42</v>
      </c>
      <c r="D8" s="10" t="s">
        <v>43</v>
      </c>
      <c r="E8" s="10" t="s">
        <v>22</v>
      </c>
      <c r="F8" s="11" t="s">
        <v>44</v>
      </c>
      <c r="G8" s="6"/>
      <c r="H8" s="6"/>
      <c r="I8" s="6"/>
      <c r="J8" s="7"/>
      <c r="K8" s="7"/>
    </row>
    <row r="9" spans="1:11" ht="52" customHeight="1" x14ac:dyDescent="0.4">
      <c r="A9" s="2" t="s">
        <v>45</v>
      </c>
      <c r="B9" s="3" t="s">
        <v>46</v>
      </c>
      <c r="C9" s="4" t="s">
        <v>47</v>
      </c>
      <c r="D9" s="4" t="s">
        <v>21</v>
      </c>
      <c r="E9" s="4" t="s">
        <v>34</v>
      </c>
      <c r="F9" s="5" t="s">
        <v>48</v>
      </c>
      <c r="G9" s="6"/>
      <c r="H9" s="6"/>
      <c r="I9" s="6"/>
      <c r="J9" s="7"/>
      <c r="K9" s="7"/>
    </row>
    <row r="10" spans="1:11" ht="52" customHeight="1" x14ac:dyDescent="0.4">
      <c r="A10" s="8" t="s">
        <v>49</v>
      </c>
      <c r="B10" s="9" t="s">
        <v>50</v>
      </c>
      <c r="C10" s="10" t="s">
        <v>51</v>
      </c>
      <c r="D10" s="10" t="s">
        <v>27</v>
      </c>
      <c r="E10" s="10" t="s">
        <v>28</v>
      </c>
      <c r="F10" s="11" t="s">
        <v>52</v>
      </c>
      <c r="G10" s="6"/>
      <c r="H10" s="6"/>
      <c r="I10" s="6"/>
      <c r="J10" s="7"/>
      <c r="K10" s="7"/>
    </row>
    <row r="11" spans="1:11" ht="52" customHeight="1" x14ac:dyDescent="0.4">
      <c r="A11" s="2" t="s">
        <v>53</v>
      </c>
      <c r="B11" s="3" t="s">
        <v>54</v>
      </c>
      <c r="C11" s="4" t="s">
        <v>55</v>
      </c>
      <c r="D11" s="4" t="s">
        <v>15</v>
      </c>
      <c r="E11" s="4" t="s">
        <v>16</v>
      </c>
      <c r="F11" s="5" t="s">
        <v>56</v>
      </c>
      <c r="G11" s="6"/>
      <c r="H11" s="6"/>
      <c r="I11" s="6"/>
      <c r="J11" s="7"/>
      <c r="K11" s="7"/>
    </row>
    <row r="12" spans="1:11" ht="52" customHeight="1" x14ac:dyDescent="0.4">
      <c r="A12" s="8" t="s">
        <v>57</v>
      </c>
      <c r="B12" s="9" t="s">
        <v>58</v>
      </c>
      <c r="C12" s="10" t="s">
        <v>59</v>
      </c>
      <c r="D12" s="10" t="s">
        <v>33</v>
      </c>
      <c r="E12" s="10" t="s">
        <v>22</v>
      </c>
      <c r="F12" s="11" t="s">
        <v>60</v>
      </c>
      <c r="G12" s="6"/>
      <c r="H12" s="6"/>
      <c r="I12" s="6"/>
      <c r="J12" s="7"/>
      <c r="K12" s="7"/>
    </row>
    <row r="13" spans="1:11" ht="52" customHeight="1" x14ac:dyDescent="0.4">
      <c r="A13" s="2" t="s">
        <v>61</v>
      </c>
      <c r="B13" s="3" t="s">
        <v>62</v>
      </c>
      <c r="C13" s="4" t="s">
        <v>63</v>
      </c>
      <c r="D13" s="4" t="s">
        <v>43</v>
      </c>
      <c r="E13" s="4" t="s">
        <v>34</v>
      </c>
      <c r="F13" s="5" t="s">
        <v>64</v>
      </c>
      <c r="G13" s="6"/>
      <c r="H13" s="6"/>
      <c r="I13" s="6"/>
      <c r="J13" s="7"/>
      <c r="K13" s="7"/>
    </row>
    <row r="14" spans="1:11" ht="52" customHeight="1" x14ac:dyDescent="0.4">
      <c r="A14" s="8" t="s">
        <v>65</v>
      </c>
      <c r="B14" s="9" t="s">
        <v>66</v>
      </c>
      <c r="C14" s="10" t="s">
        <v>67</v>
      </c>
      <c r="D14" s="10" t="s">
        <v>21</v>
      </c>
      <c r="E14" s="10" t="s">
        <v>16</v>
      </c>
      <c r="F14" s="11" t="s">
        <v>68</v>
      </c>
      <c r="G14" s="6"/>
      <c r="H14" s="6"/>
      <c r="I14" s="6"/>
      <c r="J14" s="7"/>
      <c r="K14" s="7"/>
    </row>
    <row r="15" spans="1:11" ht="52" customHeight="1" x14ac:dyDescent="0.4">
      <c r="A15" s="2" t="s">
        <v>69</v>
      </c>
      <c r="B15" s="3" t="s">
        <v>70</v>
      </c>
      <c r="C15" s="4" t="s">
        <v>71</v>
      </c>
      <c r="D15" s="4" t="s">
        <v>15</v>
      </c>
      <c r="E15" s="4" t="s">
        <v>28</v>
      </c>
      <c r="F15" s="5" t="s">
        <v>72</v>
      </c>
      <c r="G15" s="6"/>
      <c r="H15" s="6"/>
      <c r="I15" s="6"/>
      <c r="J15" s="7"/>
      <c r="K15" s="7"/>
    </row>
    <row r="16" spans="1:11" ht="52" customHeight="1" x14ac:dyDescent="0.4">
      <c r="A16" s="8" t="s">
        <v>73</v>
      </c>
      <c r="B16" s="9" t="s">
        <v>74</v>
      </c>
      <c r="C16" s="10" t="s">
        <v>75</v>
      </c>
      <c r="D16" s="10" t="s">
        <v>27</v>
      </c>
      <c r="E16" s="10" t="s">
        <v>22</v>
      </c>
      <c r="F16" s="11" t="s">
        <v>76</v>
      </c>
      <c r="G16" s="6"/>
      <c r="H16" s="6"/>
      <c r="I16" s="6"/>
      <c r="J16" s="7"/>
      <c r="K16" s="7"/>
    </row>
    <row r="17" spans="1:11" ht="52" customHeight="1" x14ac:dyDescent="0.4">
      <c r="A17" s="2" t="s">
        <v>77</v>
      </c>
      <c r="B17" s="3" t="s">
        <v>78</v>
      </c>
      <c r="C17" s="4" t="s">
        <v>79</v>
      </c>
      <c r="D17" s="4" t="s">
        <v>33</v>
      </c>
      <c r="E17" s="4" t="s">
        <v>34</v>
      </c>
      <c r="F17" s="5" t="s">
        <v>80</v>
      </c>
      <c r="G17" s="6"/>
      <c r="H17" s="6"/>
      <c r="I17" s="6"/>
      <c r="J17" s="7"/>
      <c r="K17" s="7"/>
    </row>
    <row r="18" spans="1:11" ht="52" customHeight="1" x14ac:dyDescent="0.4">
      <c r="A18" s="8" t="s">
        <v>81</v>
      </c>
      <c r="B18" s="9" t="s">
        <v>82</v>
      </c>
      <c r="C18" s="10" t="s">
        <v>83</v>
      </c>
      <c r="D18" s="10" t="s">
        <v>21</v>
      </c>
      <c r="E18" s="10" t="s">
        <v>16</v>
      </c>
      <c r="F18" s="11" t="s">
        <v>84</v>
      </c>
      <c r="G18" s="6"/>
      <c r="H18" s="6"/>
      <c r="I18" s="6"/>
      <c r="J18" s="7"/>
      <c r="K18" s="7"/>
    </row>
    <row r="19" spans="1:11" ht="52" customHeight="1" x14ac:dyDescent="0.4">
      <c r="A19" s="2" t="s">
        <v>85</v>
      </c>
      <c r="B19" s="3" t="s">
        <v>86</v>
      </c>
      <c r="C19" s="4" t="s">
        <v>87</v>
      </c>
      <c r="D19" s="4" t="s">
        <v>15</v>
      </c>
      <c r="E19" s="4" t="s">
        <v>22</v>
      </c>
      <c r="F19" s="5" t="s">
        <v>88</v>
      </c>
      <c r="G19" s="6"/>
      <c r="H19" s="6"/>
      <c r="I19" s="6"/>
      <c r="J19" s="7"/>
      <c r="K19" s="7"/>
    </row>
    <row r="20" spans="1:11" ht="52" customHeight="1" x14ac:dyDescent="0.4">
      <c r="A20" s="8" t="s">
        <v>89</v>
      </c>
      <c r="B20" s="9" t="s">
        <v>90</v>
      </c>
      <c r="C20" s="10" t="s">
        <v>91</v>
      </c>
      <c r="D20" s="10" t="s">
        <v>43</v>
      </c>
      <c r="E20" s="10" t="s">
        <v>28</v>
      </c>
      <c r="F20" s="11" t="s">
        <v>92</v>
      </c>
      <c r="G20" s="6"/>
      <c r="H20" s="6"/>
      <c r="I20" s="6"/>
      <c r="J20" s="7"/>
      <c r="K20" s="7"/>
    </row>
    <row r="21" spans="1:11" ht="52" customHeight="1" x14ac:dyDescent="0.4">
      <c r="A21" s="2" t="s">
        <v>93</v>
      </c>
      <c r="B21" s="3" t="s">
        <v>94</v>
      </c>
      <c r="C21" s="4" t="s">
        <v>95</v>
      </c>
      <c r="D21" s="4" t="s">
        <v>27</v>
      </c>
      <c r="E21" s="4" t="s">
        <v>34</v>
      </c>
      <c r="F21" s="5" t="s">
        <v>96</v>
      </c>
      <c r="G21" s="6"/>
      <c r="H21" s="6"/>
      <c r="I21" s="6"/>
      <c r="J21" s="7"/>
      <c r="K21" s="7"/>
    </row>
    <row r="22" spans="1:11" ht="52" customHeight="1" x14ac:dyDescent="0.4">
      <c r="A22" s="8" t="s">
        <v>97</v>
      </c>
      <c r="B22" s="9" t="s">
        <v>98</v>
      </c>
      <c r="C22" s="10" t="s">
        <v>99</v>
      </c>
      <c r="D22" s="10" t="s">
        <v>21</v>
      </c>
      <c r="E22" s="10" t="s">
        <v>16</v>
      </c>
      <c r="F22" s="11" t="s">
        <v>100</v>
      </c>
      <c r="G22" s="6"/>
      <c r="H22" s="6"/>
      <c r="I22" s="6"/>
      <c r="J22" s="7"/>
      <c r="K22" s="7"/>
    </row>
    <row r="23" spans="1:11" ht="52" customHeight="1" x14ac:dyDescent="0.4">
      <c r="A23" s="2" t="s">
        <v>101</v>
      </c>
      <c r="B23" s="3" t="s">
        <v>102</v>
      </c>
      <c r="C23" s="4" t="s">
        <v>103</v>
      </c>
      <c r="D23" s="4" t="s">
        <v>33</v>
      </c>
      <c r="E23" s="4" t="s">
        <v>22</v>
      </c>
      <c r="F23" s="5" t="s">
        <v>104</v>
      </c>
      <c r="G23" s="6"/>
      <c r="H23" s="6"/>
      <c r="I23" s="6"/>
      <c r="J23" s="7"/>
      <c r="K23" s="7"/>
    </row>
    <row r="24" spans="1:11" ht="52" customHeight="1" x14ac:dyDescent="0.4">
      <c r="A24" s="8" t="s">
        <v>105</v>
      </c>
      <c r="B24" s="9" t="s">
        <v>106</v>
      </c>
      <c r="C24" s="10" t="s">
        <v>107</v>
      </c>
      <c r="D24" s="10" t="s">
        <v>15</v>
      </c>
      <c r="E24" s="10" t="s">
        <v>28</v>
      </c>
      <c r="F24" s="11" t="s">
        <v>108</v>
      </c>
      <c r="G24" s="6"/>
      <c r="H24" s="6"/>
      <c r="I24" s="6"/>
      <c r="J24" s="7"/>
      <c r="K24" s="7"/>
    </row>
    <row r="25" spans="1:11" ht="52" customHeight="1" x14ac:dyDescent="0.4">
      <c r="A25" s="2" t="s">
        <v>109</v>
      </c>
      <c r="B25" s="3" t="s">
        <v>110</v>
      </c>
      <c r="C25" s="4" t="s">
        <v>111</v>
      </c>
      <c r="D25" s="4" t="s">
        <v>43</v>
      </c>
      <c r="E25" s="4" t="s">
        <v>34</v>
      </c>
      <c r="F25" s="5" t="s">
        <v>112</v>
      </c>
      <c r="G25" s="6"/>
      <c r="H25" s="6"/>
      <c r="I25" s="6"/>
      <c r="J25" s="7"/>
      <c r="K25" s="7"/>
    </row>
    <row r="26" spans="1:11" ht="52" customHeight="1" x14ac:dyDescent="0.4">
      <c r="A26" s="8" t="s">
        <v>113</v>
      </c>
      <c r="B26" s="9" t="s">
        <v>114</v>
      </c>
      <c r="C26" s="10" t="s">
        <v>115</v>
      </c>
      <c r="D26" s="10" t="s">
        <v>21</v>
      </c>
      <c r="E26" s="10" t="s">
        <v>22</v>
      </c>
      <c r="F26" s="11" t="s">
        <v>116</v>
      </c>
      <c r="G26" s="6"/>
      <c r="H26" s="6"/>
      <c r="I26" s="6"/>
      <c r="J26" s="7"/>
      <c r="K26" s="7"/>
    </row>
    <row r="27" spans="1:11" ht="52" customHeight="1" x14ac:dyDescent="0.4">
      <c r="A27" s="2" t="s">
        <v>117</v>
      </c>
      <c r="B27" s="3" t="s">
        <v>118</v>
      </c>
      <c r="C27" s="4" t="s">
        <v>119</v>
      </c>
      <c r="D27" s="4" t="s">
        <v>27</v>
      </c>
      <c r="E27" s="4" t="s">
        <v>16</v>
      </c>
      <c r="F27" s="5" t="s">
        <v>120</v>
      </c>
      <c r="G27" s="6"/>
      <c r="H27" s="6"/>
      <c r="I27" s="6"/>
      <c r="J27" s="7"/>
      <c r="K27" s="7"/>
    </row>
    <row r="28" spans="1:11" ht="22" customHeight="1" x14ac:dyDescent="0.4">
      <c r="A28" s="34" t="s">
        <v>121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</row>
  </sheetData>
  <mergeCells count="2">
    <mergeCell ref="A1:K1"/>
    <mergeCell ref="A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opLeftCell="A21" workbookViewId="0">
      <selection activeCell="C28" sqref="C28:D28"/>
    </sheetView>
  </sheetViews>
  <sheetFormatPr defaultRowHeight="14.6" x14ac:dyDescent="0.4"/>
  <cols>
    <col min="1" max="1" width="6" customWidth="1"/>
    <col min="2" max="2" width="30" customWidth="1"/>
    <col min="3" max="3" width="62" customWidth="1"/>
    <col min="4" max="4" width="22" customWidth="1"/>
  </cols>
  <sheetData>
    <row r="1" spans="1:4" ht="32.15" customHeight="1" x14ac:dyDescent="0.4">
      <c r="A1" s="32" t="s">
        <v>122</v>
      </c>
      <c r="B1" s="33"/>
      <c r="C1" s="33"/>
      <c r="D1" s="33"/>
    </row>
    <row r="2" spans="1:4" ht="22" customHeight="1" x14ac:dyDescent="0.4">
      <c r="A2" s="41" t="s">
        <v>123</v>
      </c>
      <c r="B2" s="33"/>
      <c r="C2" s="33"/>
      <c r="D2" s="33"/>
    </row>
    <row r="4" spans="1:4" ht="22" customHeight="1" x14ac:dyDescent="0.4">
      <c r="A4" s="39" t="s">
        <v>124</v>
      </c>
      <c r="B4" s="33"/>
      <c r="C4" s="33"/>
      <c r="D4" s="33"/>
    </row>
    <row r="5" spans="1:4" ht="42" customHeight="1" x14ac:dyDescent="0.4">
      <c r="A5" s="12" t="s">
        <v>125</v>
      </c>
      <c r="B5" s="13" t="s">
        <v>126</v>
      </c>
      <c r="C5" s="11" t="s">
        <v>127</v>
      </c>
      <c r="D5" s="14"/>
    </row>
    <row r="6" spans="1:4" ht="42" customHeight="1" x14ac:dyDescent="0.4">
      <c r="A6" s="12" t="s">
        <v>128</v>
      </c>
      <c r="B6" s="15" t="s">
        <v>129</v>
      </c>
      <c r="C6" s="16" t="s">
        <v>130</v>
      </c>
      <c r="D6" s="17"/>
    </row>
    <row r="7" spans="1:4" ht="42" customHeight="1" x14ac:dyDescent="0.4">
      <c r="A7" s="12" t="s">
        <v>131</v>
      </c>
      <c r="B7" s="13" t="s">
        <v>132</v>
      </c>
      <c r="C7" s="11" t="s">
        <v>133</v>
      </c>
      <c r="D7" s="14"/>
    </row>
    <row r="8" spans="1:4" ht="42" customHeight="1" x14ac:dyDescent="0.4">
      <c r="A8" s="12" t="s">
        <v>134</v>
      </c>
      <c r="B8" s="15" t="s">
        <v>135</v>
      </c>
      <c r="C8" s="16" t="s">
        <v>136</v>
      </c>
      <c r="D8" s="17"/>
    </row>
    <row r="9" spans="1:4" ht="42" customHeight="1" x14ac:dyDescent="0.4">
      <c r="A9" s="12" t="s">
        <v>137</v>
      </c>
      <c r="B9" s="13" t="s">
        <v>138</v>
      </c>
      <c r="C9" s="11" t="s">
        <v>139</v>
      </c>
      <c r="D9" s="14"/>
    </row>
    <row r="11" spans="1:4" ht="22" customHeight="1" x14ac:dyDescent="0.4">
      <c r="A11" s="39" t="s">
        <v>140</v>
      </c>
      <c r="B11" s="33"/>
      <c r="C11" s="33"/>
      <c r="D11" s="33"/>
    </row>
    <row r="12" spans="1:4" ht="42" customHeight="1" x14ac:dyDescent="0.4">
      <c r="A12" s="12" t="s">
        <v>141</v>
      </c>
      <c r="B12" s="13" t="s">
        <v>142</v>
      </c>
      <c r="C12" s="11"/>
      <c r="D12" s="14"/>
    </row>
    <row r="13" spans="1:4" ht="42" customHeight="1" x14ac:dyDescent="0.4">
      <c r="A13" s="12" t="s">
        <v>141</v>
      </c>
      <c r="B13" s="13" t="s">
        <v>143</v>
      </c>
      <c r="C13" s="11" t="s">
        <v>144</v>
      </c>
      <c r="D13" s="14"/>
    </row>
    <row r="14" spans="1:4" ht="42" customHeight="1" x14ac:dyDescent="0.4">
      <c r="A14" s="12" t="s">
        <v>141</v>
      </c>
      <c r="B14" s="13" t="s">
        <v>145</v>
      </c>
      <c r="C14" s="11" t="s">
        <v>146</v>
      </c>
      <c r="D14" s="14"/>
    </row>
    <row r="15" spans="1:4" ht="42" customHeight="1" x14ac:dyDescent="0.4">
      <c r="A15" s="12" t="s">
        <v>141</v>
      </c>
      <c r="B15" s="13" t="s">
        <v>147</v>
      </c>
      <c r="C15" s="11" t="s">
        <v>148</v>
      </c>
      <c r="D15" s="14"/>
    </row>
    <row r="17" spans="1:4" ht="22" customHeight="1" x14ac:dyDescent="0.4">
      <c r="A17" s="36" t="s">
        <v>149</v>
      </c>
      <c r="B17" s="33"/>
      <c r="C17" s="33"/>
      <c r="D17" s="33"/>
    </row>
    <row r="18" spans="1:4" ht="42" customHeight="1" x14ac:dyDescent="0.4">
      <c r="A18" s="12" t="s">
        <v>125</v>
      </c>
      <c r="B18" s="13" t="s">
        <v>150</v>
      </c>
      <c r="C18" s="11" t="s">
        <v>151</v>
      </c>
      <c r="D18" s="14"/>
    </row>
    <row r="19" spans="1:4" ht="42" customHeight="1" x14ac:dyDescent="0.4">
      <c r="A19" s="12" t="s">
        <v>128</v>
      </c>
      <c r="B19" s="18" t="s">
        <v>152</v>
      </c>
      <c r="C19" s="5" t="s">
        <v>153</v>
      </c>
      <c r="D19" s="19"/>
    </row>
    <row r="20" spans="1:4" ht="42" customHeight="1" x14ac:dyDescent="0.4">
      <c r="A20" s="12" t="s">
        <v>131</v>
      </c>
      <c r="B20" s="13" t="s">
        <v>154</v>
      </c>
      <c r="C20" s="11" t="s">
        <v>155</v>
      </c>
      <c r="D20" s="14"/>
    </row>
    <row r="21" spans="1:4" ht="42" customHeight="1" x14ac:dyDescent="0.4">
      <c r="A21" s="12" t="s">
        <v>134</v>
      </c>
      <c r="B21" s="18" t="s">
        <v>156</v>
      </c>
      <c r="C21" s="5" t="s">
        <v>157</v>
      </c>
      <c r="D21" s="19"/>
    </row>
    <row r="22" spans="1:4" ht="42" customHeight="1" x14ac:dyDescent="0.4">
      <c r="A22" s="12" t="s">
        <v>137</v>
      </c>
      <c r="B22" s="13" t="s">
        <v>158</v>
      </c>
      <c r="C22" s="11" t="s">
        <v>159</v>
      </c>
      <c r="D22" s="14"/>
    </row>
    <row r="23" spans="1:4" ht="42" customHeight="1" x14ac:dyDescent="0.4">
      <c r="A23" s="12" t="s">
        <v>160</v>
      </c>
      <c r="B23" s="18" t="s">
        <v>161</v>
      </c>
      <c r="C23" s="5" t="s">
        <v>162</v>
      </c>
      <c r="D23" s="19"/>
    </row>
    <row r="24" spans="1:4" ht="42" customHeight="1" x14ac:dyDescent="0.4">
      <c r="A24" s="12" t="s">
        <v>163</v>
      </c>
      <c r="B24" s="13" t="s">
        <v>164</v>
      </c>
      <c r="C24" s="11" t="s">
        <v>165</v>
      </c>
      <c r="D24" s="14"/>
    </row>
    <row r="26" spans="1:4" ht="22" customHeight="1" x14ac:dyDescent="0.4">
      <c r="A26" s="40" t="s">
        <v>166</v>
      </c>
      <c r="B26" s="33"/>
      <c r="C26" s="33"/>
      <c r="D26" s="33"/>
    </row>
    <row r="27" spans="1:4" ht="40" customHeight="1" x14ac:dyDescent="0.4">
      <c r="A27" s="20" t="s">
        <v>167</v>
      </c>
      <c r="B27" s="21" t="s">
        <v>168</v>
      </c>
      <c r="C27" s="37" t="e" vm="1">
        <f>_xlfn._xlws.COPILOT("Analyse the sentiment of this customer feedback. Reply with only one word: Positive, Negative, or Neutral. No explanation.", F3)</f>
        <v>#VALUE!</v>
      </c>
      <c r="D27" s="38"/>
    </row>
    <row r="28" spans="1:4" ht="40" customHeight="1" x14ac:dyDescent="0.4">
      <c r="A28" s="20" t="s">
        <v>167</v>
      </c>
      <c r="B28" s="21" t="s">
        <v>169</v>
      </c>
      <c r="C28" s="37" t="e" vm="1">
        <f>_xlfn._xlws.COPILOT("Classify this insurance feedback into exactly one category: Claim, Premium, Service, Product, App, Billing, or Compliment. Reply with the category name only.", F3)</f>
        <v>#VALUE!</v>
      </c>
      <c r="D28" s="38"/>
    </row>
    <row r="29" spans="1:4" ht="40" customHeight="1" x14ac:dyDescent="0.4">
      <c r="A29" s="20" t="s">
        <v>167</v>
      </c>
      <c r="B29" s="21" t="s">
        <v>170</v>
      </c>
      <c r="C29" s="37" t="e" vm="1">
        <f>_xlfn._xlws.COPILOT(_xlfn._LONGTEXT("Based on this customer feedback from a life insurance company, assign a priority level: High (urgent complaint, financial issue, claim dispute, or regulatory risk), Medium (service quality issue or mild dissatisfaction), Low (general enquiry or compliment","). Reply with High, Medium, or Low only."), F3)</f>
        <v>#VALUE!</v>
      </c>
      <c r="D29" s="38"/>
    </row>
    <row r="30" spans="1:4" ht="40" customHeight="1" x14ac:dyDescent="0.4">
      <c r="A30" s="20" t="s">
        <v>167</v>
      </c>
      <c r="B30" s="21" t="s">
        <v>171</v>
      </c>
      <c r="C30" s="37" t="e" vm="1">
        <f>_xlfn._xlws.COPILOT("Analyse this insurance customer feedback. Return a JSON-like summary: Sentiment: [Positive/Negative/Neutral], Category: [Claim/Premium/Service/Product/App/Billing/Compliment], Priority: [High/Medium/Low].", F3)</f>
        <v>#VALUE!</v>
      </c>
      <c r="D30" s="38"/>
    </row>
    <row r="32" spans="1:4" ht="22" customHeight="1" x14ac:dyDescent="0.4">
      <c r="A32" s="35" t="s">
        <v>172</v>
      </c>
      <c r="B32" s="33"/>
      <c r="C32" s="33"/>
      <c r="D32" s="33"/>
    </row>
    <row r="33" spans="1:4" ht="42" customHeight="1" x14ac:dyDescent="0.4">
      <c r="A33" s="12" t="s">
        <v>173</v>
      </c>
      <c r="B33" s="22" t="s">
        <v>174</v>
      </c>
      <c r="C33" s="23" t="s">
        <v>175</v>
      </c>
      <c r="D33" s="24"/>
    </row>
    <row r="34" spans="1:4" ht="42" customHeight="1" x14ac:dyDescent="0.4">
      <c r="A34" s="12" t="s">
        <v>176</v>
      </c>
      <c r="B34" s="22" t="s">
        <v>177</v>
      </c>
      <c r="C34" s="23" t="s">
        <v>178</v>
      </c>
      <c r="D34" s="24"/>
    </row>
    <row r="35" spans="1:4" ht="42" customHeight="1" x14ac:dyDescent="0.4">
      <c r="A35" s="12" t="s">
        <v>179</v>
      </c>
      <c r="B35" s="22" t="s">
        <v>180</v>
      </c>
      <c r="C35" s="23" t="s">
        <v>181</v>
      </c>
      <c r="D35" s="24"/>
    </row>
    <row r="36" spans="1:4" ht="42" customHeight="1" x14ac:dyDescent="0.4">
      <c r="A36" s="12" t="s">
        <v>182</v>
      </c>
      <c r="B36" s="22" t="s">
        <v>183</v>
      </c>
      <c r="C36" s="23"/>
      <c r="D36" s="24"/>
    </row>
    <row r="37" spans="1:4" ht="42" customHeight="1" x14ac:dyDescent="0.4">
      <c r="A37" s="12" t="s">
        <v>184</v>
      </c>
      <c r="B37" s="22" t="s">
        <v>185</v>
      </c>
      <c r="C37" s="23" t="s">
        <v>186</v>
      </c>
      <c r="D37" s="24"/>
    </row>
  </sheetData>
  <mergeCells count="11">
    <mergeCell ref="A32:D32"/>
    <mergeCell ref="A1:D1"/>
    <mergeCell ref="A17:D17"/>
    <mergeCell ref="C29:D29"/>
    <mergeCell ref="C30:D30"/>
    <mergeCell ref="A4:D4"/>
    <mergeCell ref="A26:D26"/>
    <mergeCell ref="C27:D27"/>
    <mergeCell ref="C28:D28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>
      <pane ySplit="2" topLeftCell="A3" activePane="bottomLeft" state="frozen"/>
      <selection pane="bottomLeft" sqref="A1:H1"/>
    </sheetView>
  </sheetViews>
  <sheetFormatPr defaultRowHeight="14.6" x14ac:dyDescent="0.4"/>
  <cols>
    <col min="1" max="1" width="12" customWidth="1"/>
    <col min="2" max="2" width="20" customWidth="1"/>
    <col min="3" max="3" width="18" customWidth="1"/>
    <col min="4" max="4" width="12" customWidth="1"/>
    <col min="5" max="5" width="14" customWidth="1"/>
    <col min="6" max="6" width="16" customWidth="1"/>
    <col min="7" max="7" width="12" customWidth="1"/>
    <col min="8" max="8" width="50" customWidth="1"/>
  </cols>
  <sheetData>
    <row r="1" spans="1:8" ht="28" customHeight="1" x14ac:dyDescent="0.4">
      <c r="A1" s="44" t="s">
        <v>187</v>
      </c>
      <c r="B1" s="33"/>
      <c r="C1" s="33"/>
      <c r="D1" s="33"/>
      <c r="E1" s="33"/>
      <c r="F1" s="33"/>
      <c r="G1" s="33"/>
      <c r="H1" s="33"/>
    </row>
    <row r="2" spans="1:8" ht="20.149999999999999" customHeight="1" x14ac:dyDescent="0.4">
      <c r="A2" s="42" t="s">
        <v>188</v>
      </c>
      <c r="B2" s="33"/>
      <c r="C2" s="33"/>
      <c r="D2" s="33"/>
      <c r="E2" s="33"/>
      <c r="F2" s="33"/>
      <c r="G2" s="33"/>
      <c r="H2" s="33"/>
    </row>
    <row r="3" spans="1:8" ht="24" customHeight="1" x14ac:dyDescent="0.4">
      <c r="A3" s="25" t="s">
        <v>1</v>
      </c>
      <c r="B3" s="25" t="s">
        <v>3</v>
      </c>
      <c r="C3" s="25" t="s">
        <v>4</v>
      </c>
      <c r="D3" s="25" t="s">
        <v>5</v>
      </c>
      <c r="E3" s="25" t="s">
        <v>189</v>
      </c>
      <c r="F3" s="25" t="s">
        <v>190</v>
      </c>
      <c r="G3" s="25" t="s">
        <v>191</v>
      </c>
      <c r="H3" s="25" t="s">
        <v>192</v>
      </c>
    </row>
    <row r="4" spans="1:8" ht="36" customHeight="1" x14ac:dyDescent="0.4">
      <c r="A4" s="26" t="s">
        <v>12</v>
      </c>
      <c r="B4" s="27" t="s">
        <v>14</v>
      </c>
      <c r="C4" s="27" t="s">
        <v>15</v>
      </c>
      <c r="D4" s="27" t="s">
        <v>16</v>
      </c>
      <c r="E4" s="28" t="s">
        <v>193</v>
      </c>
      <c r="F4" s="27" t="s">
        <v>194</v>
      </c>
      <c r="G4" s="28" t="s">
        <v>195</v>
      </c>
      <c r="H4" s="29" t="s">
        <v>196</v>
      </c>
    </row>
    <row r="5" spans="1:8" ht="36" customHeight="1" x14ac:dyDescent="0.4">
      <c r="A5" s="26" t="s">
        <v>18</v>
      </c>
      <c r="B5" s="27" t="s">
        <v>20</v>
      </c>
      <c r="C5" s="27" t="s">
        <v>21</v>
      </c>
      <c r="D5" s="27" t="s">
        <v>22</v>
      </c>
      <c r="E5" s="30" t="s">
        <v>197</v>
      </c>
      <c r="F5" s="27" t="s">
        <v>198</v>
      </c>
      <c r="G5" s="30" t="s">
        <v>199</v>
      </c>
      <c r="H5" s="29" t="s">
        <v>200</v>
      </c>
    </row>
    <row r="6" spans="1:8" ht="36" customHeight="1" x14ac:dyDescent="0.4">
      <c r="A6" s="26" t="s">
        <v>24</v>
      </c>
      <c r="B6" s="27" t="s">
        <v>26</v>
      </c>
      <c r="C6" s="27" t="s">
        <v>27</v>
      </c>
      <c r="D6" s="27" t="s">
        <v>28</v>
      </c>
      <c r="E6" s="30" t="s">
        <v>197</v>
      </c>
      <c r="F6" s="27" t="s">
        <v>194</v>
      </c>
      <c r="G6" s="31" t="s">
        <v>201</v>
      </c>
      <c r="H6" s="29" t="s">
        <v>202</v>
      </c>
    </row>
    <row r="7" spans="1:8" ht="36" customHeight="1" x14ac:dyDescent="0.4">
      <c r="A7" s="26" t="s">
        <v>30</v>
      </c>
      <c r="B7" s="27" t="s">
        <v>32</v>
      </c>
      <c r="C7" s="27" t="s">
        <v>33</v>
      </c>
      <c r="D7" s="27" t="s">
        <v>34</v>
      </c>
      <c r="E7" s="28" t="s">
        <v>193</v>
      </c>
      <c r="F7" s="27" t="s">
        <v>34</v>
      </c>
      <c r="G7" s="28" t="s">
        <v>195</v>
      </c>
      <c r="H7" s="29" t="s">
        <v>203</v>
      </c>
    </row>
    <row r="8" spans="1:8" ht="36" customHeight="1" x14ac:dyDescent="0.4">
      <c r="A8" s="26" t="s">
        <v>36</v>
      </c>
      <c r="B8" s="27" t="s">
        <v>38</v>
      </c>
      <c r="C8" s="27" t="s">
        <v>15</v>
      </c>
      <c r="D8" s="27" t="s">
        <v>16</v>
      </c>
      <c r="E8" s="30" t="s">
        <v>197</v>
      </c>
      <c r="F8" s="27" t="s">
        <v>204</v>
      </c>
      <c r="G8" s="30" t="s">
        <v>199</v>
      </c>
      <c r="H8" s="29" t="s">
        <v>205</v>
      </c>
    </row>
    <row r="9" spans="1:8" ht="36" customHeight="1" x14ac:dyDescent="0.4">
      <c r="A9" s="26" t="s">
        <v>40</v>
      </c>
      <c r="B9" s="27" t="s">
        <v>42</v>
      </c>
      <c r="C9" s="27" t="s">
        <v>43</v>
      </c>
      <c r="D9" s="27" t="s">
        <v>22</v>
      </c>
      <c r="E9" s="30" t="s">
        <v>197</v>
      </c>
      <c r="F9" s="27" t="s">
        <v>194</v>
      </c>
      <c r="G9" s="31" t="s">
        <v>201</v>
      </c>
      <c r="H9" s="29" t="s">
        <v>206</v>
      </c>
    </row>
    <row r="10" spans="1:8" ht="36" customHeight="1" x14ac:dyDescent="0.4">
      <c r="A10" s="26" t="s">
        <v>45</v>
      </c>
      <c r="B10" s="27" t="s">
        <v>47</v>
      </c>
      <c r="C10" s="27" t="s">
        <v>21</v>
      </c>
      <c r="D10" s="27" t="s">
        <v>34</v>
      </c>
      <c r="E10" s="28" t="s">
        <v>193</v>
      </c>
      <c r="F10" s="27" t="s">
        <v>34</v>
      </c>
      <c r="G10" s="28" t="s">
        <v>195</v>
      </c>
      <c r="H10" s="29" t="s">
        <v>207</v>
      </c>
    </row>
    <row r="11" spans="1:8" ht="36" customHeight="1" x14ac:dyDescent="0.4">
      <c r="A11" s="26" t="s">
        <v>49</v>
      </c>
      <c r="B11" s="27" t="s">
        <v>51</v>
      </c>
      <c r="C11" s="27" t="s">
        <v>27</v>
      </c>
      <c r="D11" s="27" t="s">
        <v>28</v>
      </c>
      <c r="E11" s="28" t="s">
        <v>193</v>
      </c>
      <c r="F11" s="27" t="s">
        <v>194</v>
      </c>
      <c r="G11" s="28" t="s">
        <v>195</v>
      </c>
      <c r="H11" s="29" t="s">
        <v>208</v>
      </c>
    </row>
    <row r="12" spans="1:8" ht="36" customHeight="1" x14ac:dyDescent="0.4">
      <c r="A12" s="26" t="s">
        <v>53</v>
      </c>
      <c r="B12" s="27" t="s">
        <v>55</v>
      </c>
      <c r="C12" s="27" t="s">
        <v>15</v>
      </c>
      <c r="D12" s="27" t="s">
        <v>16</v>
      </c>
      <c r="E12" s="30" t="s">
        <v>197</v>
      </c>
      <c r="F12" s="27" t="s">
        <v>194</v>
      </c>
      <c r="G12" s="30" t="s">
        <v>199</v>
      </c>
      <c r="H12" s="29" t="s">
        <v>209</v>
      </c>
    </row>
    <row r="13" spans="1:8" ht="36" customHeight="1" x14ac:dyDescent="0.4">
      <c r="A13" s="26" t="s">
        <v>57</v>
      </c>
      <c r="B13" s="27" t="s">
        <v>59</v>
      </c>
      <c r="C13" s="27" t="s">
        <v>33</v>
      </c>
      <c r="D13" s="27" t="s">
        <v>22</v>
      </c>
      <c r="E13" s="30" t="s">
        <v>197</v>
      </c>
      <c r="F13" s="27" t="s">
        <v>194</v>
      </c>
      <c r="G13" s="31" t="s">
        <v>201</v>
      </c>
      <c r="H13" s="29" t="s">
        <v>210</v>
      </c>
    </row>
    <row r="14" spans="1:8" ht="36" customHeight="1" x14ac:dyDescent="0.4">
      <c r="A14" s="26" t="s">
        <v>61</v>
      </c>
      <c r="B14" s="27" t="s">
        <v>63</v>
      </c>
      <c r="C14" s="27" t="s">
        <v>43</v>
      </c>
      <c r="D14" s="27" t="s">
        <v>34</v>
      </c>
      <c r="E14" s="28" t="s">
        <v>193</v>
      </c>
      <c r="F14" s="27" t="s">
        <v>194</v>
      </c>
      <c r="G14" s="28" t="s">
        <v>195</v>
      </c>
      <c r="H14" s="29" t="s">
        <v>211</v>
      </c>
    </row>
    <row r="15" spans="1:8" ht="36" customHeight="1" x14ac:dyDescent="0.4">
      <c r="A15" s="26" t="s">
        <v>65</v>
      </c>
      <c r="B15" s="27" t="s">
        <v>67</v>
      </c>
      <c r="C15" s="27" t="s">
        <v>21</v>
      </c>
      <c r="D15" s="27" t="s">
        <v>16</v>
      </c>
      <c r="E15" s="30" t="s">
        <v>197</v>
      </c>
      <c r="F15" s="27" t="s">
        <v>194</v>
      </c>
      <c r="G15" s="30" t="s">
        <v>199</v>
      </c>
      <c r="H15" s="29" t="s">
        <v>212</v>
      </c>
    </row>
    <row r="16" spans="1:8" ht="36" customHeight="1" x14ac:dyDescent="0.4">
      <c r="A16" s="26" t="s">
        <v>69</v>
      </c>
      <c r="B16" s="27" t="s">
        <v>71</v>
      </c>
      <c r="C16" s="27" t="s">
        <v>15</v>
      </c>
      <c r="D16" s="27" t="s">
        <v>28</v>
      </c>
      <c r="E16" s="28" t="s">
        <v>193</v>
      </c>
      <c r="F16" s="27" t="s">
        <v>194</v>
      </c>
      <c r="G16" s="28" t="s">
        <v>195</v>
      </c>
      <c r="H16" s="29" t="s">
        <v>213</v>
      </c>
    </row>
    <row r="17" spans="1:8" ht="36" customHeight="1" x14ac:dyDescent="0.4">
      <c r="A17" s="26" t="s">
        <v>73</v>
      </c>
      <c r="B17" s="27" t="s">
        <v>75</v>
      </c>
      <c r="C17" s="27" t="s">
        <v>27</v>
      </c>
      <c r="D17" s="27" t="s">
        <v>22</v>
      </c>
      <c r="E17" s="30" t="s">
        <v>197</v>
      </c>
      <c r="F17" s="27" t="s">
        <v>214</v>
      </c>
      <c r="G17" s="30" t="s">
        <v>199</v>
      </c>
      <c r="H17" s="29" t="s">
        <v>215</v>
      </c>
    </row>
    <row r="18" spans="1:8" ht="36" customHeight="1" x14ac:dyDescent="0.4">
      <c r="A18" s="26" t="s">
        <v>77</v>
      </c>
      <c r="B18" s="27" t="s">
        <v>79</v>
      </c>
      <c r="C18" s="27" t="s">
        <v>33</v>
      </c>
      <c r="D18" s="27" t="s">
        <v>34</v>
      </c>
      <c r="E18" s="28" t="s">
        <v>193</v>
      </c>
      <c r="F18" s="27" t="s">
        <v>204</v>
      </c>
      <c r="G18" s="28" t="s">
        <v>195</v>
      </c>
      <c r="H18" s="29" t="s">
        <v>216</v>
      </c>
    </row>
    <row r="19" spans="1:8" ht="36" customHeight="1" x14ac:dyDescent="0.4">
      <c r="A19" s="26" t="s">
        <v>81</v>
      </c>
      <c r="B19" s="27" t="s">
        <v>83</v>
      </c>
      <c r="C19" s="27" t="s">
        <v>21</v>
      </c>
      <c r="D19" s="27" t="s">
        <v>16</v>
      </c>
      <c r="E19" s="30" t="s">
        <v>197</v>
      </c>
      <c r="F19" s="27" t="s">
        <v>194</v>
      </c>
      <c r="G19" s="31" t="s">
        <v>201</v>
      </c>
      <c r="H19" s="29" t="s">
        <v>217</v>
      </c>
    </row>
    <row r="20" spans="1:8" ht="36" customHeight="1" x14ac:dyDescent="0.4">
      <c r="A20" s="26" t="s">
        <v>85</v>
      </c>
      <c r="B20" s="27" t="s">
        <v>87</v>
      </c>
      <c r="C20" s="27" t="s">
        <v>15</v>
      </c>
      <c r="D20" s="27" t="s">
        <v>22</v>
      </c>
      <c r="E20" s="30" t="s">
        <v>197</v>
      </c>
      <c r="F20" s="27" t="s">
        <v>218</v>
      </c>
      <c r="G20" s="30" t="s">
        <v>199</v>
      </c>
      <c r="H20" s="29" t="s">
        <v>219</v>
      </c>
    </row>
    <row r="21" spans="1:8" ht="36" customHeight="1" x14ac:dyDescent="0.4">
      <c r="A21" s="26" t="s">
        <v>89</v>
      </c>
      <c r="B21" s="27" t="s">
        <v>91</v>
      </c>
      <c r="C21" s="27" t="s">
        <v>43</v>
      </c>
      <c r="D21" s="27" t="s">
        <v>28</v>
      </c>
      <c r="E21" s="28" t="s">
        <v>193</v>
      </c>
      <c r="F21" s="27" t="s">
        <v>194</v>
      </c>
      <c r="G21" s="28" t="s">
        <v>195</v>
      </c>
      <c r="H21" s="29" t="s">
        <v>220</v>
      </c>
    </row>
    <row r="22" spans="1:8" ht="36" customHeight="1" x14ac:dyDescent="0.4">
      <c r="A22" s="26" t="s">
        <v>93</v>
      </c>
      <c r="B22" s="27" t="s">
        <v>95</v>
      </c>
      <c r="C22" s="27" t="s">
        <v>27</v>
      </c>
      <c r="D22" s="27" t="s">
        <v>34</v>
      </c>
      <c r="E22" s="28" t="s">
        <v>193</v>
      </c>
      <c r="F22" s="27" t="s">
        <v>204</v>
      </c>
      <c r="G22" s="28" t="s">
        <v>195</v>
      </c>
      <c r="H22" s="29" t="s">
        <v>221</v>
      </c>
    </row>
    <row r="23" spans="1:8" ht="36" customHeight="1" x14ac:dyDescent="0.4">
      <c r="A23" s="26" t="s">
        <v>97</v>
      </c>
      <c r="B23" s="27" t="s">
        <v>99</v>
      </c>
      <c r="C23" s="27" t="s">
        <v>21</v>
      </c>
      <c r="D23" s="27" t="s">
        <v>16</v>
      </c>
      <c r="E23" s="30" t="s">
        <v>197</v>
      </c>
      <c r="F23" s="27" t="s">
        <v>198</v>
      </c>
      <c r="G23" s="31" t="s">
        <v>201</v>
      </c>
      <c r="H23" s="29" t="s">
        <v>222</v>
      </c>
    </row>
    <row r="24" spans="1:8" ht="36" customHeight="1" x14ac:dyDescent="0.4">
      <c r="A24" s="26" t="s">
        <v>101</v>
      </c>
      <c r="B24" s="27" t="s">
        <v>103</v>
      </c>
      <c r="C24" s="27" t="s">
        <v>33</v>
      </c>
      <c r="D24" s="27" t="s">
        <v>22</v>
      </c>
      <c r="E24" s="30" t="s">
        <v>197</v>
      </c>
      <c r="F24" s="27" t="s">
        <v>204</v>
      </c>
      <c r="G24" s="30" t="s">
        <v>199</v>
      </c>
      <c r="H24" s="29" t="s">
        <v>223</v>
      </c>
    </row>
    <row r="25" spans="1:8" ht="36" customHeight="1" x14ac:dyDescent="0.4">
      <c r="A25" s="26" t="s">
        <v>105</v>
      </c>
      <c r="B25" s="27" t="s">
        <v>107</v>
      </c>
      <c r="C25" s="27" t="s">
        <v>15</v>
      </c>
      <c r="D25" s="27" t="s">
        <v>28</v>
      </c>
      <c r="E25" s="28" t="s">
        <v>193</v>
      </c>
      <c r="F25" s="27" t="s">
        <v>194</v>
      </c>
      <c r="G25" s="28" t="s">
        <v>195</v>
      </c>
      <c r="H25" s="29" t="s">
        <v>224</v>
      </c>
    </row>
    <row r="26" spans="1:8" ht="36" customHeight="1" x14ac:dyDescent="0.4">
      <c r="A26" s="26" t="s">
        <v>109</v>
      </c>
      <c r="B26" s="27" t="s">
        <v>111</v>
      </c>
      <c r="C26" s="27" t="s">
        <v>43</v>
      </c>
      <c r="D26" s="27" t="s">
        <v>34</v>
      </c>
      <c r="E26" s="30" t="s">
        <v>197</v>
      </c>
      <c r="F26" s="27" t="s">
        <v>218</v>
      </c>
      <c r="G26" s="30" t="s">
        <v>199</v>
      </c>
      <c r="H26" s="29" t="s">
        <v>225</v>
      </c>
    </row>
    <row r="27" spans="1:8" ht="36" customHeight="1" x14ac:dyDescent="0.4">
      <c r="A27" s="26" t="s">
        <v>113</v>
      </c>
      <c r="B27" s="27" t="s">
        <v>115</v>
      </c>
      <c r="C27" s="27" t="s">
        <v>21</v>
      </c>
      <c r="D27" s="27" t="s">
        <v>22</v>
      </c>
      <c r="E27" s="30" t="s">
        <v>197</v>
      </c>
      <c r="F27" s="27" t="s">
        <v>194</v>
      </c>
      <c r="G27" s="31" t="s">
        <v>201</v>
      </c>
      <c r="H27" s="29" t="s">
        <v>226</v>
      </c>
    </row>
    <row r="28" spans="1:8" ht="36" customHeight="1" x14ac:dyDescent="0.4">
      <c r="A28" s="26" t="s">
        <v>117</v>
      </c>
      <c r="B28" s="27" t="s">
        <v>119</v>
      </c>
      <c r="C28" s="27" t="s">
        <v>27</v>
      </c>
      <c r="D28" s="27" t="s">
        <v>16</v>
      </c>
      <c r="E28" s="28" t="s">
        <v>193</v>
      </c>
      <c r="F28" s="27" t="s">
        <v>194</v>
      </c>
      <c r="G28" s="28" t="s">
        <v>195</v>
      </c>
      <c r="H28" s="29" t="s">
        <v>227</v>
      </c>
    </row>
    <row r="30" spans="1:8" ht="24" customHeight="1" x14ac:dyDescent="0.4">
      <c r="A30" s="43" t="s">
        <v>228</v>
      </c>
      <c r="B30" s="33"/>
      <c r="C30" s="33"/>
      <c r="D30" s="33"/>
      <c r="E30" s="33"/>
      <c r="F30" s="33"/>
      <c r="G30" s="33"/>
      <c r="H30" s="33"/>
    </row>
  </sheetData>
  <mergeCells count="3">
    <mergeCell ref="A2:H2"/>
    <mergeCell ref="A30:H30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51CED7A02B545A3DF97841B43455F" ma:contentTypeVersion="7" ma:contentTypeDescription="Create a new document." ma:contentTypeScope="" ma:versionID="5f53b0eca49aab556819104c12c9a55b">
  <xsd:schema xmlns:xsd="http://www.w3.org/2001/XMLSchema" xmlns:xs="http://www.w3.org/2001/XMLSchema" xmlns:p="http://schemas.microsoft.com/office/2006/metadata/properties" xmlns:ns2="62e541b1-a250-4d03-93a1-6196e9bfa008" targetNamespace="http://schemas.microsoft.com/office/2006/metadata/properties" ma:root="true" ma:fieldsID="9875971e5776d847029e542257abe308" ns2:_="">
    <xsd:import namespace="62e541b1-a250-4d03-93a1-6196e9bf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541b1-a250-4d03-93a1-6196e9bfa0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E5F7E1-9020-4CB4-88D1-4F977BAD7B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e541b1-a250-4d03-93a1-6196e9bfa0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D8DAAB-F192-419A-A2FC-A87BF54C4A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76C356-57E9-4C2B-9C4E-475D4EC8828E}">
  <ds:schemaRefs>
    <ds:schemaRef ds:uri="http://www.w3.org/XML/1998/namespace"/>
    <ds:schemaRef ds:uri="http://purl.org/dc/dcmitype/"/>
    <ds:schemaRef ds:uri="62e541b1-a250-4d03-93a1-6196e9bfa008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Customer_Feedback</vt:lpstr>
      <vt:lpstr>Instructions</vt:lpstr>
      <vt:lpstr>Answer_Key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nuIng Subannawong</cp:lastModifiedBy>
  <cp:revision/>
  <dcterms:created xsi:type="dcterms:W3CDTF">2026-05-07T19:18:25Z</dcterms:created>
  <dcterms:modified xsi:type="dcterms:W3CDTF">2026-05-08T08:59:43Z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0x0101001A551CED7A02B545A3DF97841B43455F</vt:lpwstr>
  </property>
</Properties>
</file>